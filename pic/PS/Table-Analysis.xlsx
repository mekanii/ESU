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00" windowHeight="12460" activeTab="2"/>
  </bookViews>
  <sheets>
    <sheet name="Sheet1" sheetId="1" r:id="rId1"/>
    <sheet name="Sheet2" sheetId="4" r:id="rId2"/>
    <sheet name="Sheet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<sst xmlns="http://schemas.openxmlformats.org/spreadsheetml/2006/main" count="27" uniqueCount="3">
  <si>
    <t>Discrete Level</t>
  </si>
  <si>
    <t>Observed</t>
  </si>
  <si>
    <t>RnD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</si>
</sst>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  <numFmt numFmtId="179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Voltage Scaling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with Discrete Level Changes</a:t>
            </a:r>
          </a:p>
        </c:rich>
      </c:tx>
      <c:layout>
        <c:manualLayout>
          <c:xMode val="edge"/>
          <c:yMode val="edge"/>
          <c:x val="0.279254155730534"/>
          <c:y val="0.0182954718707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Sheet1!$C$14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Sheet1!$B$15:$B$24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Sheet1!$C$15:$C$24</c:f>
              <c:numCache>
                <c:formatCode>0.000_ </c:formatCode>
                <c:ptCount val="10"/>
                <c:pt idx="0">
                  <c:v>18.234</c:v>
                </c:pt>
                <c:pt idx="1">
                  <c:v>30.127</c:v>
                </c:pt>
                <c:pt idx="2">
                  <c:v>39.703</c:v>
                </c:pt>
                <c:pt idx="3">
                  <c:v>46.299</c:v>
                </c:pt>
                <c:pt idx="4">
                  <c:v>55.591</c:v>
                </c:pt>
                <c:pt idx="5">
                  <c:v>60.121</c:v>
                </c:pt>
                <c:pt idx="6">
                  <c:v>62.467</c:v>
                </c:pt>
                <c:pt idx="7">
                  <c:v>64.498</c:v>
                </c:pt>
                <c:pt idx="8">
                  <c:v>66.208</c:v>
                </c:pt>
                <c:pt idx="9">
                  <c:v>67.718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Sheet1!$D$14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 cmpd="sng">
              <a:solidFill>
                <a:schemeClr val="accent5"/>
              </a:solidFill>
              <a:prstDash val="solid"/>
              <a:round/>
              <a:headEnd type="none"/>
              <a:tailEnd type="none"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Sheet1!$B$15:$B$24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Sheet1!$D$15:$D$24</c:f>
              <c:numCache>
                <c:formatCode>0.000_ </c:formatCode>
                <c:ptCount val="10"/>
                <c:pt idx="0">
                  <c:v>30.639</c:v>
                </c:pt>
                <c:pt idx="1">
                  <c:v>34.25</c:v>
                </c:pt>
                <c:pt idx="2">
                  <c:v>43.956</c:v>
                </c:pt>
                <c:pt idx="3">
                  <c:v>57.299</c:v>
                </c:pt>
                <c:pt idx="4">
                  <c:v>67.986</c:v>
                </c:pt>
                <c:pt idx="5">
                  <c:v>78.276</c:v>
                </c:pt>
                <c:pt idx="6">
                  <c:v>84.905</c:v>
                </c:pt>
                <c:pt idx="7">
                  <c:v>87.328</c:v>
                </c:pt>
                <c:pt idx="8">
                  <c:v>87.591</c:v>
                </c:pt>
                <c:pt idx="9">
                  <c:v>85.187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Vrms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Voltage Symmetry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Between Positive and Negative Peaks</a:t>
            </a:r>
          </a:p>
        </c:rich>
      </c:tx>
      <c:layout>
        <c:manualLayout>
          <c:xMode val="edge"/>
          <c:yMode val="edge"/>
          <c:x val="0.194784605291931"/>
          <c:y val="0.01829268292682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Sheet1!$C$36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 cmpd="sng">
              <a:solidFill>
                <a:schemeClr val="accent5"/>
              </a:solidFill>
              <a:prstDash val="solid"/>
              <a:round/>
              <a:headEnd type="none"/>
              <a:tailEnd type="none"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Sheet1!$B$37:$B$46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Sheet1!$C$37:$C$46</c:f>
              <c:numCache>
                <c:formatCode>0.000_ </c:formatCode>
                <c:ptCount val="10"/>
                <c:pt idx="0">
                  <c:v>6.70542335790625</c:v>
                </c:pt>
                <c:pt idx="1">
                  <c:v>9.42002992152162</c:v>
                </c:pt>
                <c:pt idx="2">
                  <c:v>12.2641509433962</c:v>
                </c:pt>
                <c:pt idx="3">
                  <c:v>10.9499746397911</c:v>
                </c:pt>
                <c:pt idx="4">
                  <c:v>7.52307552037243</c:v>
                </c:pt>
                <c:pt idx="5">
                  <c:v>7.47392391977491</c:v>
                </c:pt>
                <c:pt idx="6">
                  <c:v>7.57580742962166</c:v>
                </c:pt>
                <c:pt idx="7">
                  <c:v>7.49229325827637</c:v>
                </c:pt>
                <c:pt idx="8">
                  <c:v>8.53093009012162</c:v>
                </c:pt>
                <c:pt idx="9">
                  <c:v>8.37849103793247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Sheet1!$D$36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Sheet1!$B$37:$B$46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Sheet1!$D$37:$D$46</c:f>
              <c:numCache>
                <c:formatCode>0.000_ </c:formatCode>
                <c:ptCount val="10"/>
                <c:pt idx="0">
                  <c:v>2.94482227210292</c:v>
                </c:pt>
                <c:pt idx="1">
                  <c:v>4.20485297796375</c:v>
                </c:pt>
                <c:pt idx="2">
                  <c:v>4.34456978050495</c:v>
                </c:pt>
                <c:pt idx="3">
                  <c:v>6.92417425655657</c:v>
                </c:pt>
                <c:pt idx="4">
                  <c:v>6.98614650596869</c:v>
                </c:pt>
                <c:pt idx="5">
                  <c:v>5.85603029129555</c:v>
                </c:pt>
                <c:pt idx="6">
                  <c:v>3.37133550488599</c:v>
                </c:pt>
                <c:pt idx="7">
                  <c:v>1.04265402843602</c:v>
                </c:pt>
                <c:pt idx="8">
                  <c:v>1.94516053433326</c:v>
                </c:pt>
                <c:pt idx="9">
                  <c:v>4.78607399183155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Assymetry 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77161-6a22-4dd2-ab0f-66e44158cd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Frequency Variation Across Discrete Levels</a:t>
            </a:r>
          </a:p>
        </c:rich>
      </c:tx>
      <c:layout>
        <c:manualLayout>
          <c:xMode val="edge"/>
          <c:yMode val="edge"/>
          <c:x val="0.194784605291931"/>
          <c:y val="0.01829268292682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Sheet1!$C$59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Sheet1!$B$60:$B$69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Sheet1!$C$60:$C$69</c:f>
              <c:numCache>
                <c:formatCode>0.00_ </c:formatCode>
                <c:ptCount val="10"/>
                <c:pt idx="0">
                  <c:v>160.31</c:v>
                </c:pt>
                <c:pt idx="1">
                  <c:v>414.49</c:v>
                </c:pt>
                <c:pt idx="2">
                  <c:v>413.35</c:v>
                </c:pt>
                <c:pt idx="3">
                  <c:v>416.97</c:v>
                </c:pt>
                <c:pt idx="4">
                  <c:v>408.79</c:v>
                </c:pt>
                <c:pt idx="5">
                  <c:v>405.41</c:v>
                </c:pt>
                <c:pt idx="6">
                  <c:v>426.8</c:v>
                </c:pt>
                <c:pt idx="7">
                  <c:v>428.11</c:v>
                </c:pt>
                <c:pt idx="8">
                  <c:v>428.77</c:v>
                </c:pt>
                <c:pt idx="9">
                  <c:v>429.55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Sheet1!$D$59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Sheet1!$B$60:$B$69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Sheet1!$D$60:$D$69</c:f>
              <c:numCache>
                <c:formatCode>0.00_ </c:formatCode>
                <c:ptCount val="10"/>
                <c:pt idx="0">
                  <c:v>400.64</c:v>
                </c:pt>
                <c:pt idx="1">
                  <c:v>400.73</c:v>
                </c:pt>
                <c:pt idx="2">
                  <c:v>399.87</c:v>
                </c:pt>
                <c:pt idx="3">
                  <c:v>399.58</c:v>
                </c:pt>
                <c:pt idx="4">
                  <c:v>399.87</c:v>
                </c:pt>
                <c:pt idx="5">
                  <c:v>400.06</c:v>
                </c:pt>
                <c:pt idx="6">
                  <c:v>400.25</c:v>
                </c:pt>
                <c:pt idx="7">
                  <c:v>400.06</c:v>
                </c:pt>
                <c:pt idx="8">
                  <c:v>400.06</c:v>
                </c:pt>
                <c:pt idx="9">
                  <c:v>399.87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logBase val="10"/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Frequency (kHz)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77161-6a22-4dd2-ab0f-66e44158cd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Voltage Scaling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with Discrete Level Changes</a:t>
            </a:r>
          </a:p>
        </c:rich>
      </c:tx>
      <c:layout>
        <c:manualLayout>
          <c:xMode val="edge"/>
          <c:yMode val="edge"/>
          <c:x val="0.279254155730534"/>
          <c:y val="0.0182954718707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Sheet2!$C$14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Sheet2!$B$15:$B$24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Sheet2!$C$15:$C$24</c:f>
              <c:numCache>
                <c:formatCode>0.000_ </c:formatCode>
                <c:ptCount val="10"/>
                <c:pt idx="0">
                  <c:v>17.89</c:v>
                </c:pt>
                <c:pt idx="1">
                  <c:v>30.809</c:v>
                </c:pt>
                <c:pt idx="2">
                  <c:v>39.187</c:v>
                </c:pt>
                <c:pt idx="3">
                  <c:v>46.598</c:v>
                </c:pt>
                <c:pt idx="4">
                  <c:v>55.419</c:v>
                </c:pt>
                <c:pt idx="5">
                  <c:v>59.244</c:v>
                </c:pt>
                <c:pt idx="6">
                  <c:v>61.409</c:v>
                </c:pt>
                <c:pt idx="7">
                  <c:v>63.326</c:v>
                </c:pt>
                <c:pt idx="8">
                  <c:v>64.916</c:v>
                </c:pt>
                <c:pt idx="9">
                  <c:v>66.18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Sheet2!$D$14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 cmpd="sng">
              <a:solidFill>
                <a:schemeClr val="accent5"/>
              </a:solidFill>
              <a:prstDash val="solid"/>
              <a:round/>
              <a:headEnd type="none"/>
              <a:tailEnd type="none"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Sheet2!$B$15:$B$24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Sheet2!$D$15:$D$24</c:f>
              <c:numCache>
                <c:formatCode>0.000_ </c:formatCode>
                <c:ptCount val="10"/>
                <c:pt idx="0">
                  <c:v>29.6</c:v>
                </c:pt>
                <c:pt idx="1">
                  <c:v>33.171</c:v>
                </c:pt>
                <c:pt idx="2">
                  <c:v>43.001</c:v>
                </c:pt>
                <c:pt idx="3">
                  <c:v>55.341</c:v>
                </c:pt>
                <c:pt idx="4">
                  <c:v>65.243</c:v>
                </c:pt>
                <c:pt idx="5">
                  <c:v>74.953</c:v>
                </c:pt>
                <c:pt idx="6">
                  <c:v>80.381</c:v>
                </c:pt>
                <c:pt idx="7">
                  <c:v>82.718</c:v>
                </c:pt>
                <c:pt idx="8">
                  <c:v>83.515</c:v>
                </c:pt>
                <c:pt idx="9">
                  <c:v>81.67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Vrms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c95113-d255-45ca-879e-dc8350a985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Voltage Symmetry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Between Positive and Negative Peaks</a:t>
            </a:r>
          </a:p>
        </c:rich>
      </c:tx>
      <c:layout>
        <c:manualLayout>
          <c:xMode val="edge"/>
          <c:yMode val="edge"/>
          <c:x val="0.194784605291931"/>
          <c:y val="0.01829268292682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Sheet2!$C$36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 cmpd="sng">
              <a:solidFill>
                <a:schemeClr val="accent5"/>
              </a:solidFill>
              <a:prstDash val="solid"/>
              <a:round/>
              <a:headEnd type="none"/>
              <a:tailEnd type="none"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Sheet2!$B$37:$B$46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Sheet2!$C$37:$C$46</c:f>
              <c:numCache>
                <c:formatCode>0.000_ </c:formatCode>
                <c:ptCount val="10"/>
                <c:pt idx="0">
                  <c:v>5.34294694028471</c:v>
                </c:pt>
                <c:pt idx="1">
                  <c:v>9.38912329269717</c:v>
                </c:pt>
                <c:pt idx="2">
                  <c:v>11.4332879768475</c:v>
                </c:pt>
                <c:pt idx="3">
                  <c:v>9.86343123825111</c:v>
                </c:pt>
                <c:pt idx="4">
                  <c:v>7.57556116191178</c:v>
                </c:pt>
                <c:pt idx="5">
                  <c:v>6.64492078285182</c:v>
                </c:pt>
                <c:pt idx="6">
                  <c:v>6.97073627009932</c:v>
                </c:pt>
                <c:pt idx="7">
                  <c:v>6.45078824030677</c:v>
                </c:pt>
                <c:pt idx="8">
                  <c:v>6.34218898483659</c:v>
                </c:pt>
                <c:pt idx="9">
                  <c:v>6.65022671227428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Sheet2!$D$36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Sheet2!$B$37:$B$46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Sheet2!$D$37:$D$46</c:f>
              <c:numCache>
                <c:formatCode>0.000_ </c:formatCode>
                <c:ptCount val="10"/>
                <c:pt idx="0">
                  <c:v>3.34329707869684</c:v>
                </c:pt>
                <c:pt idx="1">
                  <c:v>4.61271729046584</c:v>
                </c:pt>
                <c:pt idx="2">
                  <c:v>4.50843934590136</c:v>
                </c:pt>
                <c:pt idx="3">
                  <c:v>6.82907130305709</c:v>
                </c:pt>
                <c:pt idx="4">
                  <c:v>7.29465824238943</c:v>
                </c:pt>
                <c:pt idx="5">
                  <c:v>6.00198198974536</c:v>
                </c:pt>
                <c:pt idx="6">
                  <c:v>2.48437119428432</c:v>
                </c:pt>
                <c:pt idx="7">
                  <c:v>0.54140127388535</c:v>
                </c:pt>
                <c:pt idx="8">
                  <c:v>2.57215034831203</c:v>
                </c:pt>
                <c:pt idx="9">
                  <c:v>4.75184794086589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Assymetry 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77161-6a22-4dd2-ab0f-66e44158cd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Frequency Variation Across Discrete Levels</a:t>
            </a:r>
          </a:p>
        </c:rich>
      </c:tx>
      <c:layout>
        <c:manualLayout>
          <c:xMode val="edge"/>
          <c:yMode val="edge"/>
          <c:x val="0.194784605291931"/>
          <c:y val="0.01829268292682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Sheet2!$C$59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Sheet2!$B$60:$B$69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Sheet2!$C$60:$C$69</c:f>
              <c:numCache>
                <c:formatCode>0.00_ </c:formatCode>
                <c:ptCount val="10"/>
                <c:pt idx="0">
                  <c:v>46.081</c:v>
                </c:pt>
                <c:pt idx="1">
                  <c:v>417.5</c:v>
                </c:pt>
                <c:pt idx="2">
                  <c:v>409.8</c:v>
                </c:pt>
                <c:pt idx="3">
                  <c:v>409.39</c:v>
                </c:pt>
                <c:pt idx="4">
                  <c:v>422.36</c:v>
                </c:pt>
                <c:pt idx="5">
                  <c:v>426.8</c:v>
                </c:pt>
                <c:pt idx="6">
                  <c:v>427.46</c:v>
                </c:pt>
                <c:pt idx="7">
                  <c:v>425.71</c:v>
                </c:pt>
                <c:pt idx="8">
                  <c:v>424.95</c:v>
                </c:pt>
                <c:pt idx="9">
                  <c:v>424.95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Sheet2!$D$59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Sheet2!$B$60:$B$69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Sheet2!$D$60:$D$69</c:f>
              <c:numCache>
                <c:formatCode>0.00_ </c:formatCode>
                <c:ptCount val="10"/>
                <c:pt idx="0">
                  <c:v>399.58</c:v>
                </c:pt>
                <c:pt idx="1">
                  <c:v>400.64</c:v>
                </c:pt>
                <c:pt idx="2">
                  <c:v>398.62</c:v>
                </c:pt>
                <c:pt idx="3">
                  <c:v>401.6</c:v>
                </c:pt>
                <c:pt idx="4">
                  <c:v>399.68</c:v>
                </c:pt>
                <c:pt idx="5">
                  <c:v>400.06</c:v>
                </c:pt>
                <c:pt idx="6">
                  <c:v>399.87</c:v>
                </c:pt>
                <c:pt idx="7">
                  <c:v>399.87</c:v>
                </c:pt>
                <c:pt idx="8">
                  <c:v>399.87</c:v>
                </c:pt>
                <c:pt idx="9">
                  <c:v>400.06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logBase val="10"/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frequency (kHz)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77161-6a22-4dd2-ab0f-66e44158cd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Voltage Scaling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with Discrete Level Changes</a:t>
            </a:r>
          </a:p>
        </c:rich>
      </c:tx>
      <c:layout>
        <c:manualLayout>
          <c:xMode val="edge"/>
          <c:yMode val="edge"/>
          <c:x val="0.279254155730534"/>
          <c:y val="0.0182954718707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Sheet3!$C$14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Sheet3!$B$15:$B$24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Sheet3!$C$15:$C$24</c:f>
              <c:numCache>
                <c:formatCode>0.000_ </c:formatCode>
                <c:ptCount val="10"/>
                <c:pt idx="0">
                  <c:v>18.943</c:v>
                </c:pt>
                <c:pt idx="1">
                  <c:v>32.175</c:v>
                </c:pt>
                <c:pt idx="2">
                  <c:v>42.184</c:v>
                </c:pt>
                <c:pt idx="3">
                  <c:v>50.448</c:v>
                </c:pt>
                <c:pt idx="4">
                  <c:v>56.027</c:v>
                </c:pt>
                <c:pt idx="5">
                  <c:v>59.483</c:v>
                </c:pt>
                <c:pt idx="6">
                  <c:v>61.268</c:v>
                </c:pt>
                <c:pt idx="7">
                  <c:v>62.862</c:v>
                </c:pt>
                <c:pt idx="8">
                  <c:v>64.13</c:v>
                </c:pt>
                <c:pt idx="9">
                  <c:v>65.2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Sheet3!$D$14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 cmpd="sng">
              <a:solidFill>
                <a:schemeClr val="accent5"/>
              </a:solidFill>
              <a:prstDash val="solid"/>
              <a:round/>
              <a:headEnd type="none"/>
              <a:tailEnd type="none"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Sheet3!$B$15:$B$24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Sheet3!$D$15:$D$24</c:f>
              <c:numCache>
                <c:formatCode>0.000_ </c:formatCode>
                <c:ptCount val="10"/>
                <c:pt idx="0">
                  <c:v>28.05</c:v>
                </c:pt>
                <c:pt idx="1">
                  <c:v>31.979</c:v>
                </c:pt>
                <c:pt idx="2">
                  <c:v>40.452</c:v>
                </c:pt>
                <c:pt idx="3">
                  <c:v>51.715</c:v>
                </c:pt>
                <c:pt idx="4">
                  <c:v>60.278</c:v>
                </c:pt>
                <c:pt idx="5">
                  <c:v>69.178</c:v>
                </c:pt>
                <c:pt idx="6">
                  <c:v>74.676</c:v>
                </c:pt>
                <c:pt idx="7">
                  <c:v>76.88</c:v>
                </c:pt>
                <c:pt idx="8">
                  <c:v>77.012</c:v>
                </c:pt>
                <c:pt idx="9">
                  <c:v>76.42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Vrms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c95113-d255-45ca-879e-dc8350a985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Voltage Symmetry</a:t>
            </a:r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Between Positive and Negative Peaks</a:t>
            </a:r>
          </a:p>
        </c:rich>
      </c:tx>
      <c:layout>
        <c:manualLayout>
          <c:xMode val="edge"/>
          <c:yMode val="edge"/>
          <c:x val="0.194784605291931"/>
          <c:y val="0.01829268292682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Sheet3!$C$36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 cmpd="sng">
              <a:solidFill>
                <a:schemeClr val="accent5"/>
              </a:solidFill>
              <a:prstDash val="solid"/>
              <a:round/>
              <a:headEnd type="none"/>
              <a:tailEnd type="none"/>
            </a:ln>
            <a:effectLst/>
            <a:sp3d contourW="28575"/>
          </c:spPr>
          <c:marker>
            <c:symbol val="none"/>
          </c:marker>
          <c:dLbls>
            <c:delete val="1"/>
          </c:dLbls>
          <c:cat>
            <c:numRef>
              <c:f>Sheet3!$B$37:$B$46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Sheet3!$C$37:$C$46</c:f>
              <c:numCache>
                <c:formatCode>0.000_ </c:formatCode>
                <c:ptCount val="10"/>
                <c:pt idx="0">
                  <c:v>5.2262560220234</c:v>
                </c:pt>
                <c:pt idx="1">
                  <c:v>11.0698164069354</c:v>
                </c:pt>
                <c:pt idx="2">
                  <c:v>9.39902434040814</c:v>
                </c:pt>
                <c:pt idx="3">
                  <c:v>8.15844291458314</c:v>
                </c:pt>
                <c:pt idx="4">
                  <c:v>7.72371621423618</c:v>
                </c:pt>
                <c:pt idx="5">
                  <c:v>7.7679268684827</c:v>
                </c:pt>
                <c:pt idx="6">
                  <c:v>7.82478801458635</c:v>
                </c:pt>
                <c:pt idx="7">
                  <c:v>8.53456690574205</c:v>
                </c:pt>
                <c:pt idx="8">
                  <c:v>9.11565748226366</c:v>
                </c:pt>
                <c:pt idx="9">
                  <c:v>9.70756464996375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Sheet3!$D$36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Sheet3!$B$37:$B$46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Sheet3!$D$37:$D$46</c:f>
              <c:numCache>
                <c:formatCode>0.000_ </c:formatCode>
                <c:ptCount val="10"/>
                <c:pt idx="0">
                  <c:v>0.628447908929302</c:v>
                </c:pt>
                <c:pt idx="1">
                  <c:v>1.98282451328627</c:v>
                </c:pt>
                <c:pt idx="2">
                  <c:v>3.32093622278002</c:v>
                </c:pt>
                <c:pt idx="3">
                  <c:v>6.65902617430436</c:v>
                </c:pt>
                <c:pt idx="4">
                  <c:v>6.79386792685271</c:v>
                </c:pt>
                <c:pt idx="5">
                  <c:v>5.27639319233015</c:v>
                </c:pt>
                <c:pt idx="6">
                  <c:v>3.21675944418476</c:v>
                </c:pt>
                <c:pt idx="7">
                  <c:v>0.0206773913403132</c:v>
                </c:pt>
                <c:pt idx="8">
                  <c:v>3.95489459061938</c:v>
                </c:pt>
                <c:pt idx="9">
                  <c:v>7.55061400597411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Assymetry 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77161-6a22-4dd2-ab0f-66e44158cd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Frequency Variation Across Discrete Levels</a:t>
            </a:r>
          </a:p>
        </c:rich>
      </c:tx>
      <c:layout>
        <c:manualLayout>
          <c:xMode val="edge"/>
          <c:yMode val="edge"/>
          <c:x val="0.194784605291931"/>
          <c:y val="0.01829268292682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Sheet3!$C$59</c:f>
              <c:strCache>
                <c:ptCount val="1"/>
                <c:pt idx="0">
                  <c:v>Observed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Sheet3!$B$60:$B$69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Sheet3!$C$60:$C$69</c:f>
              <c:numCache>
                <c:formatCode>0.00_ </c:formatCode>
                <c:ptCount val="10"/>
                <c:pt idx="0">
                  <c:v>207.83</c:v>
                </c:pt>
                <c:pt idx="1">
                  <c:v>415.73</c:v>
                </c:pt>
                <c:pt idx="2">
                  <c:v>418.55</c:v>
                </c:pt>
                <c:pt idx="3">
                  <c:v>419.81</c:v>
                </c:pt>
                <c:pt idx="4">
                  <c:v>424.08</c:v>
                </c:pt>
                <c:pt idx="5">
                  <c:v>426.91</c:v>
                </c:pt>
                <c:pt idx="6">
                  <c:v>427.56</c:v>
                </c:pt>
                <c:pt idx="7">
                  <c:v>428.22</c:v>
                </c:pt>
                <c:pt idx="8">
                  <c:v>427.13</c:v>
                </c:pt>
                <c:pt idx="9">
                  <c:v>425.71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Sheet3!$D$59</c:f>
              <c:strCache>
                <c:ptCount val="1"/>
                <c:pt idx="0">
                  <c:v>RnD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Sheet3!$B$60:$B$69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Sheet3!$D$60:$D$69</c:f>
              <c:numCache>
                <c:formatCode>0.00_ </c:formatCode>
                <c:ptCount val="10"/>
                <c:pt idx="0">
                  <c:v>400.64</c:v>
                </c:pt>
                <c:pt idx="1">
                  <c:v>400.16</c:v>
                </c:pt>
                <c:pt idx="2">
                  <c:v>399.58</c:v>
                </c:pt>
                <c:pt idx="3">
                  <c:v>400.16</c:v>
                </c:pt>
                <c:pt idx="4">
                  <c:v>400.64</c:v>
                </c:pt>
                <c:pt idx="5">
                  <c:v>400.35</c:v>
                </c:pt>
                <c:pt idx="6">
                  <c:v>400.06</c:v>
                </c:pt>
                <c:pt idx="7">
                  <c:v>400.06</c:v>
                </c:pt>
                <c:pt idx="8">
                  <c:v>400.16</c:v>
                </c:pt>
                <c:pt idx="9">
                  <c:v>400.64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9201482"/>
        <c:axId val="575313118"/>
      </c:lineChart>
      <c:catAx>
        <c:axId val="72920148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Discrete Level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313118"/>
        <c:crosses val="autoZero"/>
        <c:auto val="1"/>
        <c:lblAlgn val="ctr"/>
        <c:lblOffset val="100"/>
        <c:noMultiLvlLbl val="0"/>
      </c:catAx>
      <c:valAx>
        <c:axId val="575313118"/>
        <c:scaling>
          <c:logBase val="10"/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Assymetry 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077161-6a22-4dd2-ab0f-66e44158cd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305435</xdr:colOff>
      <xdr:row>13</xdr:row>
      <xdr:rowOff>18415</xdr:rowOff>
    </xdr:from>
    <xdr:to>
      <xdr:col>12</xdr:col>
      <xdr:colOff>15875</xdr:colOff>
      <xdr:row>33</xdr:row>
      <xdr:rowOff>161925</xdr:rowOff>
    </xdr:to>
    <xdr:graphicFrame>
      <xdr:nvGraphicFramePr>
        <xdr:cNvPr id="2" name="Chart 1"/>
        <xdr:cNvGraphicFramePr/>
      </xdr:nvGraphicFramePr>
      <xdr:xfrm>
        <a:off x="3272155" y="2792095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273685</xdr:colOff>
      <xdr:row>35</xdr:row>
      <xdr:rowOff>29210</xdr:rowOff>
    </xdr:from>
    <xdr:to>
      <xdr:col>11</xdr:col>
      <xdr:colOff>715645</xdr:colOff>
      <xdr:row>55</xdr:row>
      <xdr:rowOff>172720</xdr:rowOff>
    </xdr:to>
    <xdr:graphicFrame>
      <xdr:nvGraphicFramePr>
        <xdr:cNvPr id="3" name="Chart 2"/>
        <xdr:cNvGraphicFramePr/>
      </xdr:nvGraphicFramePr>
      <xdr:xfrm>
        <a:off x="3240405" y="7496810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294640</xdr:colOff>
      <xdr:row>57</xdr:row>
      <xdr:rowOff>80645</xdr:rowOff>
    </xdr:from>
    <xdr:to>
      <xdr:col>12</xdr:col>
      <xdr:colOff>5080</xdr:colOff>
      <xdr:row>78</xdr:row>
      <xdr:rowOff>10795</xdr:rowOff>
    </xdr:to>
    <xdr:graphicFrame>
      <xdr:nvGraphicFramePr>
        <xdr:cNvPr id="4" name="Chart 3"/>
        <xdr:cNvGraphicFramePr/>
      </xdr:nvGraphicFramePr>
      <xdr:xfrm>
        <a:off x="3261360" y="12242165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305435</xdr:colOff>
      <xdr:row>13</xdr:row>
      <xdr:rowOff>18415</xdr:rowOff>
    </xdr:from>
    <xdr:to>
      <xdr:col>12</xdr:col>
      <xdr:colOff>15875</xdr:colOff>
      <xdr:row>33</xdr:row>
      <xdr:rowOff>161925</xdr:rowOff>
    </xdr:to>
    <xdr:graphicFrame>
      <xdr:nvGraphicFramePr>
        <xdr:cNvPr id="2" name="Chart 1"/>
        <xdr:cNvGraphicFramePr/>
      </xdr:nvGraphicFramePr>
      <xdr:xfrm>
        <a:off x="3272155" y="2792095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273685</xdr:colOff>
      <xdr:row>35</xdr:row>
      <xdr:rowOff>29210</xdr:rowOff>
    </xdr:from>
    <xdr:to>
      <xdr:col>11</xdr:col>
      <xdr:colOff>715645</xdr:colOff>
      <xdr:row>55</xdr:row>
      <xdr:rowOff>172720</xdr:rowOff>
    </xdr:to>
    <xdr:graphicFrame>
      <xdr:nvGraphicFramePr>
        <xdr:cNvPr id="3" name="Chart 2"/>
        <xdr:cNvGraphicFramePr/>
      </xdr:nvGraphicFramePr>
      <xdr:xfrm>
        <a:off x="3240405" y="7496810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294640</xdr:colOff>
      <xdr:row>57</xdr:row>
      <xdr:rowOff>80645</xdr:rowOff>
    </xdr:from>
    <xdr:to>
      <xdr:col>12</xdr:col>
      <xdr:colOff>5080</xdr:colOff>
      <xdr:row>78</xdr:row>
      <xdr:rowOff>10795</xdr:rowOff>
    </xdr:to>
    <xdr:graphicFrame>
      <xdr:nvGraphicFramePr>
        <xdr:cNvPr id="4" name="Chart 3"/>
        <xdr:cNvGraphicFramePr/>
      </xdr:nvGraphicFramePr>
      <xdr:xfrm>
        <a:off x="3261360" y="12242165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305435</xdr:colOff>
      <xdr:row>13</xdr:row>
      <xdr:rowOff>18415</xdr:rowOff>
    </xdr:from>
    <xdr:to>
      <xdr:col>12</xdr:col>
      <xdr:colOff>15875</xdr:colOff>
      <xdr:row>33</xdr:row>
      <xdr:rowOff>161925</xdr:rowOff>
    </xdr:to>
    <xdr:graphicFrame>
      <xdr:nvGraphicFramePr>
        <xdr:cNvPr id="2" name="Chart 1"/>
        <xdr:cNvGraphicFramePr/>
      </xdr:nvGraphicFramePr>
      <xdr:xfrm>
        <a:off x="3272155" y="2792095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273685</xdr:colOff>
      <xdr:row>35</xdr:row>
      <xdr:rowOff>29210</xdr:rowOff>
    </xdr:from>
    <xdr:to>
      <xdr:col>11</xdr:col>
      <xdr:colOff>715645</xdr:colOff>
      <xdr:row>55</xdr:row>
      <xdr:rowOff>172720</xdr:rowOff>
    </xdr:to>
    <xdr:graphicFrame>
      <xdr:nvGraphicFramePr>
        <xdr:cNvPr id="3" name="Chart 2"/>
        <xdr:cNvGraphicFramePr/>
      </xdr:nvGraphicFramePr>
      <xdr:xfrm>
        <a:off x="3240405" y="7496810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294640</xdr:colOff>
      <xdr:row>57</xdr:row>
      <xdr:rowOff>80645</xdr:rowOff>
    </xdr:from>
    <xdr:to>
      <xdr:col>12</xdr:col>
      <xdr:colOff>5080</xdr:colOff>
      <xdr:row>78</xdr:row>
      <xdr:rowOff>10795</xdr:rowOff>
    </xdr:to>
    <xdr:graphicFrame>
      <xdr:nvGraphicFramePr>
        <xdr:cNvPr id="4" name="Chart 3"/>
        <xdr:cNvGraphicFramePr/>
      </xdr:nvGraphicFramePr>
      <xdr:xfrm>
        <a:off x="3261360" y="12242165"/>
        <a:ext cx="5806440" cy="4410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69"/>
  <sheetViews>
    <sheetView topLeftCell="B1" workbookViewId="0">
      <selection activeCell="D15" sqref="D15"/>
    </sheetView>
  </sheetViews>
  <sheetFormatPr defaultColWidth="9" defaultRowHeight="16.8"/>
  <cols>
    <col min="4" max="4" width="9.5"/>
    <col min="5" max="5" width="10.25"/>
    <col min="9" max="9" width="9.5"/>
    <col min="10" max="10" width="10.25"/>
  </cols>
  <sheetData>
    <row r="2" spans="2:13">
      <c r="B2">
        <v>10</v>
      </c>
      <c r="C2">
        <v>5</v>
      </c>
      <c r="D2" s="1">
        <v>48.273</v>
      </c>
      <c r="E2" s="1">
        <v>-42.206</v>
      </c>
      <c r="F2" s="1">
        <v>18.234</v>
      </c>
      <c r="G2" s="1">
        <f t="shared" ref="G2:G11" si="0">ABS(ABS(D2)-ABS(E2))/(ABS(D2)+ABS(E2))*100</f>
        <v>6.70542335790625</v>
      </c>
      <c r="H2" s="2">
        <v>160.31</v>
      </c>
      <c r="I2" s="1">
        <v>61.456</v>
      </c>
      <c r="J2" s="1">
        <v>-57.94</v>
      </c>
      <c r="K2" s="1">
        <v>30.639</v>
      </c>
      <c r="L2" s="1">
        <f t="shared" ref="L2:L11" si="1">ABS(ABS(I2)-ABS(J2))/(ABS(I2)+ABS(J2))*100</f>
        <v>2.94482227210292</v>
      </c>
      <c r="M2" s="2">
        <v>400.64</v>
      </c>
    </row>
    <row r="3" spans="2:13">
      <c r="B3">
        <v>20</v>
      </c>
      <c r="C3">
        <v>10</v>
      </c>
      <c r="D3" s="1">
        <v>51.766</v>
      </c>
      <c r="E3" s="1">
        <v>-62.533</v>
      </c>
      <c r="F3" s="1">
        <v>30.127</v>
      </c>
      <c r="G3" s="1">
        <f t="shared" si="0"/>
        <v>9.42002992152162</v>
      </c>
      <c r="H3" s="2">
        <v>414.49</v>
      </c>
      <c r="I3" s="1">
        <v>68.733</v>
      </c>
      <c r="J3" s="1">
        <v>-63.186</v>
      </c>
      <c r="K3" s="1">
        <v>34.25</v>
      </c>
      <c r="L3" s="1">
        <f t="shared" si="1"/>
        <v>4.20485297796375</v>
      </c>
      <c r="M3" s="2">
        <v>400.73</v>
      </c>
    </row>
    <row r="4" spans="2:13">
      <c r="B4">
        <v>30</v>
      </c>
      <c r="C4">
        <v>15</v>
      </c>
      <c r="D4" s="1">
        <v>61.38</v>
      </c>
      <c r="E4" s="1">
        <v>-78.54</v>
      </c>
      <c r="F4" s="1">
        <v>39.703</v>
      </c>
      <c r="G4" s="1">
        <f t="shared" si="0"/>
        <v>12.2641509433962</v>
      </c>
      <c r="H4" s="2">
        <v>413.35</v>
      </c>
      <c r="I4" s="1">
        <v>79.413</v>
      </c>
      <c r="J4" s="1">
        <v>-72.8</v>
      </c>
      <c r="K4" s="1">
        <v>43.956</v>
      </c>
      <c r="L4" s="1">
        <f t="shared" si="1"/>
        <v>4.34456978050495</v>
      </c>
      <c r="M4" s="2">
        <v>399.87</v>
      </c>
    </row>
    <row r="5" spans="2:13">
      <c r="B5">
        <v>40</v>
      </c>
      <c r="C5">
        <v>20</v>
      </c>
      <c r="D5" s="1">
        <v>71.106</v>
      </c>
      <c r="E5" s="1">
        <v>-88.593</v>
      </c>
      <c r="F5" s="1">
        <v>46.299</v>
      </c>
      <c r="G5" s="1">
        <f t="shared" si="0"/>
        <v>10.9499746397911</v>
      </c>
      <c r="H5" s="2">
        <v>416.97</v>
      </c>
      <c r="I5" s="1">
        <v>97.44</v>
      </c>
      <c r="J5" s="1">
        <v>-84.82</v>
      </c>
      <c r="K5" s="1">
        <v>57.299</v>
      </c>
      <c r="L5" s="1">
        <f t="shared" si="1"/>
        <v>6.92417425655657</v>
      </c>
      <c r="M5" s="2">
        <v>399.58</v>
      </c>
    </row>
    <row r="6" spans="2:13">
      <c r="B6">
        <v>50</v>
      </c>
      <c r="C6">
        <v>25</v>
      </c>
      <c r="D6" s="1">
        <v>86.213</v>
      </c>
      <c r="E6" s="1">
        <v>-100.24</v>
      </c>
      <c r="F6" s="1">
        <v>55.591</v>
      </c>
      <c r="G6" s="1">
        <f t="shared" si="0"/>
        <v>7.52307552037243</v>
      </c>
      <c r="H6" s="2">
        <v>408.79</v>
      </c>
      <c r="I6" s="1">
        <v>111.67</v>
      </c>
      <c r="J6" s="1">
        <v>-97.086</v>
      </c>
      <c r="K6" s="1">
        <v>67.986</v>
      </c>
      <c r="L6" s="1">
        <f t="shared" si="1"/>
        <v>6.98614650596869</v>
      </c>
      <c r="M6" s="2">
        <v>399.87</v>
      </c>
    </row>
    <row r="7" spans="2:13">
      <c r="B7">
        <v>60</v>
      </c>
      <c r="C7">
        <v>30</v>
      </c>
      <c r="D7" s="1">
        <v>94.873</v>
      </c>
      <c r="E7" s="1">
        <v>-110.2</v>
      </c>
      <c r="F7" s="1">
        <v>60.121</v>
      </c>
      <c r="G7" s="1">
        <f t="shared" si="0"/>
        <v>7.47392391977491</v>
      </c>
      <c r="H7" s="2">
        <v>405.41</v>
      </c>
      <c r="I7" s="1">
        <v>123.01</v>
      </c>
      <c r="J7" s="1">
        <v>-109.4</v>
      </c>
      <c r="K7" s="1">
        <v>78.276</v>
      </c>
      <c r="L7" s="1">
        <f t="shared" si="1"/>
        <v>5.85603029129555</v>
      </c>
      <c r="M7" s="2">
        <v>400.06</v>
      </c>
    </row>
    <row r="8" spans="2:13">
      <c r="B8">
        <v>70</v>
      </c>
      <c r="C8">
        <v>35</v>
      </c>
      <c r="D8" s="1">
        <v>98.313</v>
      </c>
      <c r="E8" s="1">
        <v>-114.43</v>
      </c>
      <c r="F8" s="1">
        <v>62.467</v>
      </c>
      <c r="G8" s="1">
        <f t="shared" si="0"/>
        <v>7.57580742962166</v>
      </c>
      <c r="H8" s="2">
        <v>426.8</v>
      </c>
      <c r="I8" s="1">
        <v>126.94</v>
      </c>
      <c r="J8" s="1">
        <v>-118.66</v>
      </c>
      <c r="K8" s="1">
        <v>84.905</v>
      </c>
      <c r="L8" s="1">
        <f t="shared" si="1"/>
        <v>3.37133550488599</v>
      </c>
      <c r="M8" s="2">
        <v>400.25</v>
      </c>
    </row>
    <row r="9" spans="2:13">
      <c r="B9">
        <v>80</v>
      </c>
      <c r="C9">
        <v>40</v>
      </c>
      <c r="D9" s="1">
        <v>103.53</v>
      </c>
      <c r="E9" s="1">
        <v>-120.3</v>
      </c>
      <c r="F9" s="1">
        <v>64.498</v>
      </c>
      <c r="G9" s="1">
        <f t="shared" si="0"/>
        <v>7.49229325827637</v>
      </c>
      <c r="H9" s="2">
        <v>428.11</v>
      </c>
      <c r="I9" s="1">
        <v>127.92</v>
      </c>
      <c r="J9" s="1">
        <v>-125.28</v>
      </c>
      <c r="K9" s="1">
        <v>87.328</v>
      </c>
      <c r="L9" s="1">
        <f t="shared" si="1"/>
        <v>1.04265402843602</v>
      </c>
      <c r="M9" s="2">
        <v>400.06</v>
      </c>
    </row>
    <row r="10" spans="2:13">
      <c r="B10">
        <v>90</v>
      </c>
      <c r="C10">
        <v>45</v>
      </c>
      <c r="D10" s="1">
        <v>104.54</v>
      </c>
      <c r="E10" s="1">
        <v>-124.04</v>
      </c>
      <c r="F10" s="1">
        <v>66.208</v>
      </c>
      <c r="G10" s="1">
        <f t="shared" si="0"/>
        <v>8.53093009012162</v>
      </c>
      <c r="H10" s="2">
        <v>428.77</v>
      </c>
      <c r="I10" s="1">
        <v>125.52</v>
      </c>
      <c r="J10" s="1">
        <v>-130.5</v>
      </c>
      <c r="K10" s="1">
        <v>87.591</v>
      </c>
      <c r="L10" s="1">
        <f t="shared" si="1"/>
        <v>1.94516053433326</v>
      </c>
      <c r="M10" s="2">
        <v>400.06</v>
      </c>
    </row>
    <row r="11" spans="2:13">
      <c r="B11">
        <v>100</v>
      </c>
      <c r="C11">
        <v>50</v>
      </c>
      <c r="D11" s="1">
        <v>109.9</v>
      </c>
      <c r="E11" s="1">
        <v>-130</v>
      </c>
      <c r="F11" s="1">
        <v>67.718</v>
      </c>
      <c r="G11" s="1">
        <f t="shared" si="0"/>
        <v>8.37849103793247</v>
      </c>
      <c r="H11" s="2">
        <v>429.55</v>
      </c>
      <c r="I11" s="1">
        <v>120.06</v>
      </c>
      <c r="J11" s="1">
        <v>-132.13</v>
      </c>
      <c r="K11" s="1">
        <v>85.187</v>
      </c>
      <c r="L11" s="1">
        <f t="shared" si="1"/>
        <v>4.78607399183155</v>
      </c>
      <c r="M11" s="2">
        <v>399.87</v>
      </c>
    </row>
    <row r="12" spans="4:13">
      <c r="D12" s="1"/>
      <c r="E12" s="1"/>
      <c r="F12" s="1"/>
      <c r="G12" s="1"/>
      <c r="H12" s="2"/>
      <c r="I12" s="1"/>
      <c r="J12" s="1"/>
      <c r="K12" s="1"/>
      <c r="L12" s="1"/>
      <c r="M12" s="2"/>
    </row>
    <row r="13" spans="4:13">
      <c r="D13" s="1"/>
      <c r="E13" s="1"/>
      <c r="F13" s="1"/>
      <c r="G13" s="1"/>
      <c r="H13" s="2"/>
      <c r="I13" s="1"/>
      <c r="J13" s="1"/>
      <c r="K13" s="1"/>
      <c r="L13" s="1"/>
      <c r="M13" s="2"/>
    </row>
    <row r="14" spans="2:4">
      <c r="B14" t="s">
        <v>0</v>
      </c>
      <c r="C14" t="s">
        <v>1</v>
      </c>
      <c r="D14" t="s">
        <v>2</v>
      </c>
    </row>
    <row r="15" spans="2:4">
      <c r="B15">
        <v>10</v>
      </c>
      <c r="C15" s="1">
        <f t="shared" ref="C15:C24" si="2">F2</f>
        <v>18.234</v>
      </c>
      <c r="D15" s="1">
        <f t="shared" ref="D15:D24" si="3">K2</f>
        <v>30.639</v>
      </c>
    </row>
    <row r="16" spans="2:4">
      <c r="B16">
        <v>20</v>
      </c>
      <c r="C16" s="1">
        <f t="shared" si="2"/>
        <v>30.127</v>
      </c>
      <c r="D16" s="1">
        <f t="shared" si="3"/>
        <v>34.25</v>
      </c>
    </row>
    <row r="17" spans="2:4">
      <c r="B17">
        <v>30</v>
      </c>
      <c r="C17" s="1">
        <f t="shared" si="2"/>
        <v>39.703</v>
      </c>
      <c r="D17" s="1">
        <f t="shared" si="3"/>
        <v>43.956</v>
      </c>
    </row>
    <row r="18" spans="2:4">
      <c r="B18">
        <v>40</v>
      </c>
      <c r="C18" s="1">
        <f t="shared" si="2"/>
        <v>46.299</v>
      </c>
      <c r="D18" s="1">
        <f t="shared" si="3"/>
        <v>57.299</v>
      </c>
    </row>
    <row r="19" spans="2:4">
      <c r="B19">
        <v>50</v>
      </c>
      <c r="C19" s="1">
        <f t="shared" si="2"/>
        <v>55.591</v>
      </c>
      <c r="D19" s="1">
        <f t="shared" si="3"/>
        <v>67.986</v>
      </c>
    </row>
    <row r="20" spans="2:4">
      <c r="B20">
        <v>60</v>
      </c>
      <c r="C20" s="1">
        <f t="shared" si="2"/>
        <v>60.121</v>
      </c>
      <c r="D20" s="1">
        <f t="shared" si="3"/>
        <v>78.276</v>
      </c>
    </row>
    <row r="21" spans="2:4">
      <c r="B21">
        <v>70</v>
      </c>
      <c r="C21" s="1">
        <f t="shared" si="2"/>
        <v>62.467</v>
      </c>
      <c r="D21" s="1">
        <f t="shared" si="3"/>
        <v>84.905</v>
      </c>
    </row>
    <row r="22" spans="2:4">
      <c r="B22">
        <v>80</v>
      </c>
      <c r="C22" s="1">
        <f t="shared" si="2"/>
        <v>64.498</v>
      </c>
      <c r="D22" s="1">
        <f t="shared" si="3"/>
        <v>87.328</v>
      </c>
    </row>
    <row r="23" spans="2:4">
      <c r="B23">
        <v>90</v>
      </c>
      <c r="C23" s="1">
        <f t="shared" si="2"/>
        <v>66.208</v>
      </c>
      <c r="D23" s="1">
        <f t="shared" si="3"/>
        <v>87.591</v>
      </c>
    </row>
    <row r="24" spans="2:4">
      <c r="B24">
        <v>100</v>
      </c>
      <c r="C24" s="1">
        <f t="shared" si="2"/>
        <v>67.718</v>
      </c>
      <c r="D24" s="1">
        <f t="shared" si="3"/>
        <v>85.187</v>
      </c>
    </row>
    <row r="36" spans="2:4">
      <c r="B36" t="s">
        <v>0</v>
      </c>
      <c r="C36" t="s">
        <v>1</v>
      </c>
      <c r="D36" t="s">
        <v>2</v>
      </c>
    </row>
    <row r="37" spans="2:4">
      <c r="B37">
        <v>10</v>
      </c>
      <c r="C37" s="1">
        <f t="shared" ref="C37:C46" si="4">G2</f>
        <v>6.70542335790625</v>
      </c>
      <c r="D37" s="1">
        <f t="shared" ref="D37:D46" si="5">L2</f>
        <v>2.94482227210292</v>
      </c>
    </row>
    <row r="38" spans="2:4">
      <c r="B38">
        <v>20</v>
      </c>
      <c r="C38" s="1">
        <f t="shared" si="4"/>
        <v>9.42002992152162</v>
      </c>
      <c r="D38" s="1">
        <f t="shared" si="5"/>
        <v>4.20485297796375</v>
      </c>
    </row>
    <row r="39" spans="2:4">
      <c r="B39">
        <v>30</v>
      </c>
      <c r="C39" s="1">
        <f t="shared" si="4"/>
        <v>12.2641509433962</v>
      </c>
      <c r="D39" s="1">
        <f t="shared" si="5"/>
        <v>4.34456978050495</v>
      </c>
    </row>
    <row r="40" spans="2:4">
      <c r="B40">
        <v>40</v>
      </c>
      <c r="C40" s="1">
        <f t="shared" si="4"/>
        <v>10.9499746397911</v>
      </c>
      <c r="D40" s="1">
        <f t="shared" si="5"/>
        <v>6.92417425655657</v>
      </c>
    </row>
    <row r="41" spans="2:4">
      <c r="B41">
        <v>50</v>
      </c>
      <c r="C41" s="1">
        <f t="shared" si="4"/>
        <v>7.52307552037243</v>
      </c>
      <c r="D41" s="1">
        <f t="shared" si="5"/>
        <v>6.98614650596869</v>
      </c>
    </row>
    <row r="42" spans="2:4">
      <c r="B42">
        <v>60</v>
      </c>
      <c r="C42" s="1">
        <f t="shared" si="4"/>
        <v>7.47392391977491</v>
      </c>
      <c r="D42" s="1">
        <f t="shared" si="5"/>
        <v>5.85603029129555</v>
      </c>
    </row>
    <row r="43" spans="2:4">
      <c r="B43">
        <v>70</v>
      </c>
      <c r="C43" s="1">
        <f t="shared" si="4"/>
        <v>7.57580742962166</v>
      </c>
      <c r="D43" s="1">
        <f t="shared" si="5"/>
        <v>3.37133550488599</v>
      </c>
    </row>
    <row r="44" spans="2:4">
      <c r="B44">
        <v>80</v>
      </c>
      <c r="C44" s="1">
        <f t="shared" si="4"/>
        <v>7.49229325827637</v>
      </c>
      <c r="D44" s="1">
        <f t="shared" si="5"/>
        <v>1.04265402843602</v>
      </c>
    </row>
    <row r="45" spans="2:4">
      <c r="B45">
        <v>90</v>
      </c>
      <c r="C45" s="1">
        <f t="shared" si="4"/>
        <v>8.53093009012162</v>
      </c>
      <c r="D45" s="1">
        <f t="shared" si="5"/>
        <v>1.94516053433326</v>
      </c>
    </row>
    <row r="46" spans="2:4">
      <c r="B46">
        <v>100</v>
      </c>
      <c r="C46" s="1">
        <f t="shared" si="4"/>
        <v>8.37849103793247</v>
      </c>
      <c r="D46" s="1">
        <f t="shared" si="5"/>
        <v>4.78607399183155</v>
      </c>
    </row>
    <row r="59" spans="2:4">
      <c r="B59" t="s">
        <v>0</v>
      </c>
      <c r="C59" t="s">
        <v>1</v>
      </c>
      <c r="D59" t="s">
        <v>2</v>
      </c>
    </row>
    <row r="60" spans="2:4">
      <c r="B60">
        <v>10</v>
      </c>
      <c r="C60" s="2">
        <f t="shared" ref="C60:C69" si="6">H2</f>
        <v>160.31</v>
      </c>
      <c r="D60" s="2">
        <f t="shared" ref="D60:D69" si="7">M2</f>
        <v>400.64</v>
      </c>
    </row>
    <row r="61" spans="2:4">
      <c r="B61">
        <v>20</v>
      </c>
      <c r="C61" s="2">
        <f t="shared" si="6"/>
        <v>414.49</v>
      </c>
      <c r="D61" s="2">
        <f t="shared" si="7"/>
        <v>400.73</v>
      </c>
    </row>
    <row r="62" spans="2:4">
      <c r="B62">
        <v>30</v>
      </c>
      <c r="C62" s="2">
        <f t="shared" si="6"/>
        <v>413.35</v>
      </c>
      <c r="D62" s="2">
        <f t="shared" si="7"/>
        <v>399.87</v>
      </c>
    </row>
    <row r="63" spans="2:4">
      <c r="B63">
        <v>40</v>
      </c>
      <c r="C63" s="2">
        <f t="shared" si="6"/>
        <v>416.97</v>
      </c>
      <c r="D63" s="2">
        <f t="shared" si="7"/>
        <v>399.58</v>
      </c>
    </row>
    <row r="64" spans="2:4">
      <c r="B64">
        <v>50</v>
      </c>
      <c r="C64" s="2">
        <f t="shared" si="6"/>
        <v>408.79</v>
      </c>
      <c r="D64" s="2">
        <f t="shared" si="7"/>
        <v>399.87</v>
      </c>
    </row>
    <row r="65" spans="2:4">
      <c r="B65">
        <v>60</v>
      </c>
      <c r="C65" s="2">
        <f t="shared" si="6"/>
        <v>405.41</v>
      </c>
      <c r="D65" s="2">
        <f t="shared" si="7"/>
        <v>400.06</v>
      </c>
    </row>
    <row r="66" spans="2:4">
      <c r="B66">
        <v>70</v>
      </c>
      <c r="C66" s="2">
        <f t="shared" si="6"/>
        <v>426.8</v>
      </c>
      <c r="D66" s="2">
        <f t="shared" si="7"/>
        <v>400.25</v>
      </c>
    </row>
    <row r="67" spans="2:4">
      <c r="B67">
        <v>80</v>
      </c>
      <c r="C67" s="2">
        <f t="shared" si="6"/>
        <v>428.11</v>
      </c>
      <c r="D67" s="2">
        <f t="shared" si="7"/>
        <v>400.06</v>
      </c>
    </row>
    <row r="68" spans="2:4">
      <c r="B68">
        <v>90</v>
      </c>
      <c r="C68" s="2">
        <f t="shared" si="6"/>
        <v>428.77</v>
      </c>
      <c r="D68" s="2">
        <f t="shared" si="7"/>
        <v>400.06</v>
      </c>
    </row>
    <row r="69" spans="2:4">
      <c r="B69">
        <v>100</v>
      </c>
      <c r="C69" s="2">
        <f t="shared" si="6"/>
        <v>429.55</v>
      </c>
      <c r="D69" s="2">
        <f t="shared" si="7"/>
        <v>399.87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69"/>
  <sheetViews>
    <sheetView workbookViewId="0">
      <selection activeCell="C15" sqref="C15"/>
    </sheetView>
  </sheetViews>
  <sheetFormatPr defaultColWidth="9" defaultRowHeight="16.8"/>
  <cols>
    <col min="4" max="4" width="9.5"/>
    <col min="5" max="5" width="10.25"/>
    <col min="9" max="9" width="9.5"/>
    <col min="10" max="10" width="10.25"/>
  </cols>
  <sheetData>
    <row r="2" spans="2:13">
      <c r="B2">
        <v>10</v>
      </c>
      <c r="C2">
        <v>5</v>
      </c>
      <c r="D2" s="1">
        <v>48.433</v>
      </c>
      <c r="E2" s="1">
        <v>-43.52</v>
      </c>
      <c r="F2" s="1">
        <v>17.89</v>
      </c>
      <c r="G2" s="1">
        <f t="shared" ref="G2:G11" si="0">ABS(ABS(D2)-ABS(E2))/(ABS(D2)+ABS(E2))*100</f>
        <v>5.34294694028471</v>
      </c>
      <c r="H2" s="2">
        <v>46.081</v>
      </c>
      <c r="I2" s="1">
        <v>61.713</v>
      </c>
      <c r="J2" s="1">
        <v>-57.72</v>
      </c>
      <c r="K2" s="1">
        <v>29.6</v>
      </c>
      <c r="L2" s="1">
        <f t="shared" ref="L2:L11" si="1">ABS(ABS(I2)-ABS(J2))/(ABS(I2)+ABS(J2))*100</f>
        <v>3.34329707869684</v>
      </c>
      <c r="M2" s="2">
        <v>399.58</v>
      </c>
    </row>
    <row r="3" spans="2:13">
      <c r="B3">
        <v>20</v>
      </c>
      <c r="C3">
        <v>10</v>
      </c>
      <c r="D3" s="1">
        <v>54.333</v>
      </c>
      <c r="E3" s="1">
        <v>-65.593</v>
      </c>
      <c r="F3" s="1">
        <v>30.809</v>
      </c>
      <c r="G3" s="1">
        <f t="shared" si="0"/>
        <v>9.38912329269717</v>
      </c>
      <c r="H3" s="2">
        <v>417.5</v>
      </c>
      <c r="I3" s="1">
        <v>68.786</v>
      </c>
      <c r="J3" s="1">
        <v>-62.72</v>
      </c>
      <c r="K3" s="1">
        <v>33.171</v>
      </c>
      <c r="L3" s="1">
        <f t="shared" si="1"/>
        <v>4.61271729046584</v>
      </c>
      <c r="M3" s="2">
        <v>400.64</v>
      </c>
    </row>
    <row r="4" spans="2:13">
      <c r="B4">
        <v>30</v>
      </c>
      <c r="C4">
        <v>15</v>
      </c>
      <c r="D4" s="1">
        <v>64.113</v>
      </c>
      <c r="E4" s="1">
        <v>-80.666</v>
      </c>
      <c r="F4" s="1">
        <v>39.187</v>
      </c>
      <c r="G4" s="1">
        <f t="shared" si="0"/>
        <v>11.4332879768475</v>
      </c>
      <c r="H4" s="2">
        <v>409.8</v>
      </c>
      <c r="I4" s="1">
        <v>79.44</v>
      </c>
      <c r="J4" s="1">
        <v>-72.586</v>
      </c>
      <c r="K4" s="1">
        <v>43.001</v>
      </c>
      <c r="L4" s="1">
        <f t="shared" si="1"/>
        <v>4.50843934590136</v>
      </c>
      <c r="M4" s="2">
        <v>398.62</v>
      </c>
    </row>
    <row r="5" spans="2:13">
      <c r="B5">
        <v>40</v>
      </c>
      <c r="C5">
        <v>20</v>
      </c>
      <c r="D5" s="1">
        <v>76</v>
      </c>
      <c r="E5" s="1">
        <v>-92.633</v>
      </c>
      <c r="F5" s="1">
        <v>46.598</v>
      </c>
      <c r="G5" s="1">
        <f t="shared" si="0"/>
        <v>9.86343123825111</v>
      </c>
      <c r="H5" s="2">
        <v>409.39</v>
      </c>
      <c r="I5" s="1">
        <v>97.88</v>
      </c>
      <c r="J5" s="1">
        <v>-85.366</v>
      </c>
      <c r="K5" s="1">
        <v>55.341</v>
      </c>
      <c r="L5" s="1">
        <f t="shared" si="1"/>
        <v>6.82907130305709</v>
      </c>
      <c r="M5" s="2">
        <v>401.6</v>
      </c>
    </row>
    <row r="6" spans="2:13">
      <c r="B6">
        <v>50</v>
      </c>
      <c r="C6">
        <v>25</v>
      </c>
      <c r="D6" s="1">
        <v>92.686</v>
      </c>
      <c r="E6" s="1">
        <v>-107.88</v>
      </c>
      <c r="F6" s="1">
        <v>55.419</v>
      </c>
      <c r="G6" s="1">
        <f t="shared" si="0"/>
        <v>7.57556116191178</v>
      </c>
      <c r="H6" s="2">
        <v>422.36</v>
      </c>
      <c r="I6" s="1">
        <v>112.08</v>
      </c>
      <c r="J6" s="1">
        <v>-96.84</v>
      </c>
      <c r="K6" s="1">
        <v>65.243</v>
      </c>
      <c r="L6" s="1">
        <f t="shared" si="1"/>
        <v>7.29465824238943</v>
      </c>
      <c r="M6" s="2">
        <v>399.68</v>
      </c>
    </row>
    <row r="7" spans="2:13">
      <c r="B7">
        <v>60</v>
      </c>
      <c r="C7">
        <v>30</v>
      </c>
      <c r="D7" s="1">
        <v>100.17</v>
      </c>
      <c r="E7" s="1">
        <v>-114.43</v>
      </c>
      <c r="F7" s="1">
        <v>59.244</v>
      </c>
      <c r="G7" s="1">
        <f t="shared" si="0"/>
        <v>6.64492078285182</v>
      </c>
      <c r="H7" s="2">
        <v>426.8</v>
      </c>
      <c r="I7" s="1">
        <v>123.01</v>
      </c>
      <c r="J7" s="1">
        <v>-109.08</v>
      </c>
      <c r="K7" s="1">
        <v>74.953</v>
      </c>
      <c r="L7" s="1">
        <f t="shared" si="1"/>
        <v>6.00198198974536</v>
      </c>
      <c r="M7" s="2">
        <v>400.06</v>
      </c>
    </row>
    <row r="8" spans="2:13">
      <c r="B8">
        <v>70</v>
      </c>
      <c r="C8">
        <v>35</v>
      </c>
      <c r="D8" s="1">
        <v>104.43</v>
      </c>
      <c r="E8" s="1">
        <v>-120.08</v>
      </c>
      <c r="F8" s="1">
        <v>61.409</v>
      </c>
      <c r="G8" s="1">
        <f t="shared" si="0"/>
        <v>6.97073627009932</v>
      </c>
      <c r="H8" s="2">
        <v>427.46</v>
      </c>
      <c r="I8" s="1">
        <v>126.23</v>
      </c>
      <c r="J8" s="1">
        <v>-120.11</v>
      </c>
      <c r="K8" s="1">
        <v>80.381</v>
      </c>
      <c r="L8" s="1">
        <f t="shared" si="1"/>
        <v>2.48437119428432</v>
      </c>
      <c r="M8" s="2">
        <v>399.87</v>
      </c>
    </row>
    <row r="9" spans="2:13">
      <c r="B9">
        <v>80</v>
      </c>
      <c r="C9">
        <v>40</v>
      </c>
      <c r="D9" s="1">
        <v>109.78</v>
      </c>
      <c r="E9" s="1">
        <v>-124.92</v>
      </c>
      <c r="F9" s="1">
        <v>63.326</v>
      </c>
      <c r="G9" s="1">
        <f t="shared" si="0"/>
        <v>6.45078824030677</v>
      </c>
      <c r="H9" s="2">
        <v>425.71</v>
      </c>
      <c r="I9" s="1">
        <v>126.28</v>
      </c>
      <c r="J9" s="1">
        <v>-124.92</v>
      </c>
      <c r="K9" s="1">
        <v>82.718</v>
      </c>
      <c r="L9" s="1">
        <f t="shared" si="1"/>
        <v>0.54140127388535</v>
      </c>
      <c r="M9" s="2">
        <v>399.87</v>
      </c>
    </row>
    <row r="10" spans="2:13">
      <c r="B10">
        <v>90</v>
      </c>
      <c r="C10">
        <v>45</v>
      </c>
      <c r="D10" s="1">
        <v>113.34</v>
      </c>
      <c r="E10" s="1">
        <v>-128.69</v>
      </c>
      <c r="F10" s="1">
        <v>64.916</v>
      </c>
      <c r="G10" s="1">
        <f t="shared" si="0"/>
        <v>6.34218898483659</v>
      </c>
      <c r="H10" s="2">
        <v>424.95</v>
      </c>
      <c r="I10" s="1">
        <v>127.27</v>
      </c>
      <c r="J10" s="1">
        <v>-133.99</v>
      </c>
      <c r="K10" s="1">
        <v>83.515</v>
      </c>
      <c r="L10" s="1">
        <f t="shared" si="1"/>
        <v>2.57215034831203</v>
      </c>
      <c r="M10" s="2">
        <v>399.87</v>
      </c>
    </row>
    <row r="11" spans="2:13">
      <c r="B11">
        <v>100</v>
      </c>
      <c r="C11">
        <v>50</v>
      </c>
      <c r="D11" s="1">
        <v>117.35</v>
      </c>
      <c r="E11" s="1">
        <v>-134.07</v>
      </c>
      <c r="F11" s="1">
        <v>66.18</v>
      </c>
      <c r="G11" s="1">
        <f t="shared" si="0"/>
        <v>6.65022671227428</v>
      </c>
      <c r="H11" s="2">
        <v>424.95</v>
      </c>
      <c r="I11" s="1">
        <v>126.28</v>
      </c>
      <c r="J11" s="1">
        <v>-138.88</v>
      </c>
      <c r="K11" s="1">
        <v>81.67</v>
      </c>
      <c r="L11" s="1">
        <f t="shared" si="1"/>
        <v>4.75184794086589</v>
      </c>
      <c r="M11" s="2">
        <v>400.06</v>
      </c>
    </row>
    <row r="12" spans="4:13">
      <c r="D12" s="1"/>
      <c r="E12" s="1"/>
      <c r="F12" s="1"/>
      <c r="G12" s="1"/>
      <c r="H12" s="2"/>
      <c r="I12" s="1"/>
      <c r="J12" s="1"/>
      <c r="K12" s="1"/>
      <c r="L12" s="1"/>
      <c r="M12" s="2"/>
    </row>
    <row r="13" spans="4:13">
      <c r="D13" s="1"/>
      <c r="E13" s="1"/>
      <c r="F13" s="1"/>
      <c r="G13" s="1"/>
      <c r="H13" s="2"/>
      <c r="I13" s="1"/>
      <c r="J13" s="1"/>
      <c r="K13" s="1"/>
      <c r="L13" s="1"/>
      <c r="M13" s="2"/>
    </row>
    <row r="14" spans="2:4">
      <c r="B14" t="s">
        <v>0</v>
      </c>
      <c r="C14" t="s">
        <v>1</v>
      </c>
      <c r="D14" t="s">
        <v>2</v>
      </c>
    </row>
    <row r="15" spans="2:4">
      <c r="B15">
        <v>10</v>
      </c>
      <c r="C15" s="1">
        <f t="shared" ref="C15:C24" si="2">F2</f>
        <v>17.89</v>
      </c>
      <c r="D15" s="1">
        <f t="shared" ref="D15:D24" si="3">K2</f>
        <v>29.6</v>
      </c>
    </row>
    <row r="16" spans="2:4">
      <c r="B16">
        <v>20</v>
      </c>
      <c r="C16" s="1">
        <f t="shared" si="2"/>
        <v>30.809</v>
      </c>
      <c r="D16" s="1">
        <f t="shared" si="3"/>
        <v>33.171</v>
      </c>
    </row>
    <row r="17" spans="2:4">
      <c r="B17">
        <v>30</v>
      </c>
      <c r="C17" s="1">
        <f t="shared" si="2"/>
        <v>39.187</v>
      </c>
      <c r="D17" s="1">
        <f t="shared" si="3"/>
        <v>43.001</v>
      </c>
    </row>
    <row r="18" spans="2:4">
      <c r="B18">
        <v>40</v>
      </c>
      <c r="C18" s="1">
        <f t="shared" si="2"/>
        <v>46.598</v>
      </c>
      <c r="D18" s="1">
        <f t="shared" si="3"/>
        <v>55.341</v>
      </c>
    </row>
    <row r="19" spans="2:4">
      <c r="B19">
        <v>50</v>
      </c>
      <c r="C19" s="1">
        <f t="shared" si="2"/>
        <v>55.419</v>
      </c>
      <c r="D19" s="1">
        <f t="shared" si="3"/>
        <v>65.243</v>
      </c>
    </row>
    <row r="20" spans="2:4">
      <c r="B20">
        <v>60</v>
      </c>
      <c r="C20" s="1">
        <f t="shared" si="2"/>
        <v>59.244</v>
      </c>
      <c r="D20" s="1">
        <f t="shared" si="3"/>
        <v>74.953</v>
      </c>
    </row>
    <row r="21" spans="2:4">
      <c r="B21">
        <v>70</v>
      </c>
      <c r="C21" s="1">
        <f t="shared" si="2"/>
        <v>61.409</v>
      </c>
      <c r="D21" s="1">
        <f t="shared" si="3"/>
        <v>80.381</v>
      </c>
    </row>
    <row r="22" spans="2:4">
      <c r="B22">
        <v>80</v>
      </c>
      <c r="C22" s="1">
        <f t="shared" si="2"/>
        <v>63.326</v>
      </c>
      <c r="D22" s="1">
        <f t="shared" si="3"/>
        <v>82.718</v>
      </c>
    </row>
    <row r="23" spans="2:4">
      <c r="B23">
        <v>90</v>
      </c>
      <c r="C23" s="1">
        <f t="shared" si="2"/>
        <v>64.916</v>
      </c>
      <c r="D23" s="1">
        <f t="shared" si="3"/>
        <v>83.515</v>
      </c>
    </row>
    <row r="24" spans="2:4">
      <c r="B24">
        <v>100</v>
      </c>
      <c r="C24" s="1">
        <f t="shared" si="2"/>
        <v>66.18</v>
      </c>
      <c r="D24" s="1">
        <f t="shared" si="3"/>
        <v>81.67</v>
      </c>
    </row>
    <row r="36" spans="2:4">
      <c r="B36" t="s">
        <v>0</v>
      </c>
      <c r="C36" t="s">
        <v>1</v>
      </c>
      <c r="D36" t="s">
        <v>2</v>
      </c>
    </row>
    <row r="37" spans="2:4">
      <c r="B37">
        <v>10</v>
      </c>
      <c r="C37" s="1">
        <f t="shared" ref="C37:C46" si="4">G2</f>
        <v>5.34294694028471</v>
      </c>
      <c r="D37" s="1">
        <f t="shared" ref="D37:D46" si="5">L2</f>
        <v>3.34329707869684</v>
      </c>
    </row>
    <row r="38" spans="2:4">
      <c r="B38">
        <v>20</v>
      </c>
      <c r="C38" s="1">
        <f t="shared" si="4"/>
        <v>9.38912329269717</v>
      </c>
      <c r="D38" s="1">
        <f t="shared" si="5"/>
        <v>4.61271729046584</v>
      </c>
    </row>
    <row r="39" spans="2:4">
      <c r="B39">
        <v>30</v>
      </c>
      <c r="C39" s="1">
        <f t="shared" si="4"/>
        <v>11.4332879768475</v>
      </c>
      <c r="D39" s="1">
        <f t="shared" si="5"/>
        <v>4.50843934590136</v>
      </c>
    </row>
    <row r="40" spans="2:4">
      <c r="B40">
        <v>40</v>
      </c>
      <c r="C40" s="1">
        <f t="shared" si="4"/>
        <v>9.86343123825111</v>
      </c>
      <c r="D40" s="1">
        <f t="shared" si="5"/>
        <v>6.82907130305709</v>
      </c>
    </row>
    <row r="41" spans="2:4">
      <c r="B41">
        <v>50</v>
      </c>
      <c r="C41" s="1">
        <f t="shared" si="4"/>
        <v>7.57556116191178</v>
      </c>
      <c r="D41" s="1">
        <f t="shared" si="5"/>
        <v>7.29465824238943</v>
      </c>
    </row>
    <row r="42" spans="2:4">
      <c r="B42">
        <v>60</v>
      </c>
      <c r="C42" s="1">
        <f t="shared" si="4"/>
        <v>6.64492078285182</v>
      </c>
      <c r="D42" s="1">
        <f t="shared" si="5"/>
        <v>6.00198198974536</v>
      </c>
    </row>
    <row r="43" spans="2:4">
      <c r="B43">
        <v>70</v>
      </c>
      <c r="C43" s="1">
        <f t="shared" si="4"/>
        <v>6.97073627009932</v>
      </c>
      <c r="D43" s="1">
        <f t="shared" si="5"/>
        <v>2.48437119428432</v>
      </c>
    </row>
    <row r="44" spans="2:4">
      <c r="B44">
        <v>80</v>
      </c>
      <c r="C44" s="1">
        <f t="shared" si="4"/>
        <v>6.45078824030677</v>
      </c>
      <c r="D44" s="1">
        <f t="shared" si="5"/>
        <v>0.54140127388535</v>
      </c>
    </row>
    <row r="45" spans="2:4">
      <c r="B45">
        <v>90</v>
      </c>
      <c r="C45" s="1">
        <f t="shared" si="4"/>
        <v>6.34218898483659</v>
      </c>
      <c r="D45" s="1">
        <f t="shared" si="5"/>
        <v>2.57215034831203</v>
      </c>
    </row>
    <row r="46" spans="2:4">
      <c r="B46">
        <v>100</v>
      </c>
      <c r="C46" s="1">
        <f t="shared" si="4"/>
        <v>6.65022671227428</v>
      </c>
      <c r="D46" s="1">
        <f t="shared" si="5"/>
        <v>4.75184794086589</v>
      </c>
    </row>
    <row r="59" spans="2:4">
      <c r="B59" t="s">
        <v>0</v>
      </c>
      <c r="C59" t="s">
        <v>1</v>
      </c>
      <c r="D59" t="s">
        <v>2</v>
      </c>
    </row>
    <row r="60" spans="2:4">
      <c r="B60">
        <v>10</v>
      </c>
      <c r="C60" s="2">
        <f t="shared" ref="C60:C69" si="6">H2</f>
        <v>46.081</v>
      </c>
      <c r="D60" s="2">
        <f t="shared" ref="D60:D69" si="7">M2</f>
        <v>399.58</v>
      </c>
    </row>
    <row r="61" spans="2:4">
      <c r="B61">
        <v>20</v>
      </c>
      <c r="C61" s="2">
        <f t="shared" si="6"/>
        <v>417.5</v>
      </c>
      <c r="D61" s="2">
        <f t="shared" si="7"/>
        <v>400.64</v>
      </c>
    </row>
    <row r="62" spans="2:4">
      <c r="B62">
        <v>30</v>
      </c>
      <c r="C62" s="2">
        <f t="shared" si="6"/>
        <v>409.8</v>
      </c>
      <c r="D62" s="2">
        <f t="shared" si="7"/>
        <v>398.62</v>
      </c>
    </row>
    <row r="63" spans="2:4">
      <c r="B63">
        <v>40</v>
      </c>
      <c r="C63" s="2">
        <f t="shared" si="6"/>
        <v>409.39</v>
      </c>
      <c r="D63" s="2">
        <f t="shared" si="7"/>
        <v>401.6</v>
      </c>
    </row>
    <row r="64" spans="2:4">
      <c r="B64">
        <v>50</v>
      </c>
      <c r="C64" s="2">
        <f t="shared" si="6"/>
        <v>422.36</v>
      </c>
      <c r="D64" s="2">
        <f t="shared" si="7"/>
        <v>399.68</v>
      </c>
    </row>
    <row r="65" spans="2:4">
      <c r="B65">
        <v>60</v>
      </c>
      <c r="C65" s="2">
        <f t="shared" si="6"/>
        <v>426.8</v>
      </c>
      <c r="D65" s="2">
        <f t="shared" si="7"/>
        <v>400.06</v>
      </c>
    </row>
    <row r="66" spans="2:4">
      <c r="B66">
        <v>70</v>
      </c>
      <c r="C66" s="2">
        <f t="shared" si="6"/>
        <v>427.46</v>
      </c>
      <c r="D66" s="2">
        <f t="shared" si="7"/>
        <v>399.87</v>
      </c>
    </row>
    <row r="67" spans="2:4">
      <c r="B67">
        <v>80</v>
      </c>
      <c r="C67" s="2">
        <f t="shared" si="6"/>
        <v>425.71</v>
      </c>
      <c r="D67" s="2">
        <f t="shared" si="7"/>
        <v>399.87</v>
      </c>
    </row>
    <row r="68" spans="2:4">
      <c r="B68">
        <v>90</v>
      </c>
      <c r="C68" s="2">
        <f t="shared" si="6"/>
        <v>424.95</v>
      </c>
      <c r="D68" s="2">
        <f t="shared" si="7"/>
        <v>399.87</v>
      </c>
    </row>
    <row r="69" spans="2:4">
      <c r="B69">
        <v>100</v>
      </c>
      <c r="C69" s="2">
        <f t="shared" si="6"/>
        <v>424.95</v>
      </c>
      <c r="D69" s="2">
        <f t="shared" si="7"/>
        <v>400.06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69"/>
  <sheetViews>
    <sheetView tabSelected="1" topLeftCell="A55" workbookViewId="0">
      <selection activeCell="R2" sqref="R2:T11"/>
    </sheetView>
  </sheetViews>
  <sheetFormatPr defaultColWidth="9" defaultRowHeight="16.8"/>
  <cols>
    <col min="4" max="4" width="9.5"/>
    <col min="5" max="5" width="10.25"/>
    <col min="9" max="9" width="9.5"/>
    <col min="10" max="10" width="10.25"/>
  </cols>
  <sheetData>
    <row r="2" spans="2:13">
      <c r="B2">
        <v>10</v>
      </c>
      <c r="C2">
        <v>5</v>
      </c>
      <c r="D2" s="1">
        <v>48.926</v>
      </c>
      <c r="E2" s="1">
        <v>-44.066</v>
      </c>
      <c r="F2" s="1">
        <v>18.943</v>
      </c>
      <c r="G2" s="1">
        <f t="shared" ref="G2:G11" si="0">ABS(ABS(D2)-ABS(E2))/(ABS(D2)+ABS(E2))*100</f>
        <v>5.2262560220234</v>
      </c>
      <c r="H2" s="2">
        <v>207.83</v>
      </c>
      <c r="I2" s="1">
        <v>60.286</v>
      </c>
      <c r="J2" s="1">
        <v>-59.533</v>
      </c>
      <c r="K2" s="1">
        <v>28.05</v>
      </c>
      <c r="L2" s="1">
        <f t="shared" ref="L2:L11" si="1">ABS(ABS(I2)-ABS(J2))/(ABS(I2)+ABS(J2))*100</f>
        <v>0.628447908929302</v>
      </c>
      <c r="M2" s="2">
        <v>400.64</v>
      </c>
    </row>
    <row r="3" spans="2:13">
      <c r="B3">
        <v>20</v>
      </c>
      <c r="C3">
        <v>10</v>
      </c>
      <c r="D3" s="1">
        <v>55.753</v>
      </c>
      <c r="E3" s="1">
        <v>-69.633</v>
      </c>
      <c r="F3" s="1">
        <v>32.175</v>
      </c>
      <c r="G3" s="1">
        <f t="shared" si="0"/>
        <v>11.0698164069354</v>
      </c>
      <c r="H3" s="2">
        <v>415.73</v>
      </c>
      <c r="I3" s="1">
        <v>68.046</v>
      </c>
      <c r="J3" s="1">
        <v>-65.4</v>
      </c>
      <c r="K3" s="1">
        <v>31.979</v>
      </c>
      <c r="L3" s="1">
        <f t="shared" si="1"/>
        <v>1.98282451328627</v>
      </c>
      <c r="M3" s="2">
        <v>400.16</v>
      </c>
    </row>
    <row r="4" spans="2:13">
      <c r="B4">
        <v>30</v>
      </c>
      <c r="C4">
        <v>15</v>
      </c>
      <c r="D4" s="1">
        <v>70.946</v>
      </c>
      <c r="E4" s="1">
        <v>-85.666</v>
      </c>
      <c r="F4" s="1">
        <v>42.184</v>
      </c>
      <c r="G4" s="1">
        <f t="shared" si="0"/>
        <v>9.39902434040814</v>
      </c>
      <c r="H4" s="2">
        <v>418.55</v>
      </c>
      <c r="I4" s="1">
        <v>78.62</v>
      </c>
      <c r="J4" s="1">
        <v>-73.566</v>
      </c>
      <c r="K4" s="1">
        <v>40.452</v>
      </c>
      <c r="L4" s="1">
        <f t="shared" si="1"/>
        <v>3.32093622278002</v>
      </c>
      <c r="M4" s="2">
        <v>399.58</v>
      </c>
    </row>
    <row r="5" spans="2:13">
      <c r="B5">
        <v>40</v>
      </c>
      <c r="C5">
        <v>20</v>
      </c>
      <c r="D5" s="1">
        <v>85.313</v>
      </c>
      <c r="E5" s="1">
        <v>-100.47</v>
      </c>
      <c r="F5" s="1">
        <v>50.448</v>
      </c>
      <c r="G5" s="1">
        <f t="shared" si="0"/>
        <v>8.15844291458314</v>
      </c>
      <c r="H5" s="2">
        <v>419.81</v>
      </c>
      <c r="I5" s="1">
        <v>94.926</v>
      </c>
      <c r="J5" s="1">
        <v>-83.073</v>
      </c>
      <c r="K5" s="1">
        <v>51.715</v>
      </c>
      <c r="L5" s="1">
        <f t="shared" si="1"/>
        <v>6.65902617430436</v>
      </c>
      <c r="M5" s="2">
        <v>400.16</v>
      </c>
    </row>
    <row r="6" spans="2:13">
      <c r="B6">
        <v>50</v>
      </c>
      <c r="C6">
        <v>25</v>
      </c>
      <c r="D6" s="1">
        <v>94.466</v>
      </c>
      <c r="E6" s="1">
        <v>-110.28</v>
      </c>
      <c r="F6" s="1">
        <v>56.027</v>
      </c>
      <c r="G6" s="1">
        <f t="shared" si="0"/>
        <v>7.72371621423618</v>
      </c>
      <c r="H6" s="2">
        <v>424.08</v>
      </c>
      <c r="I6" s="1">
        <v>108.36</v>
      </c>
      <c r="J6" s="1">
        <v>-94.573</v>
      </c>
      <c r="K6" s="1">
        <v>60.278</v>
      </c>
      <c r="L6" s="1">
        <f t="shared" si="1"/>
        <v>6.79386792685271</v>
      </c>
      <c r="M6" s="2">
        <v>400.64</v>
      </c>
    </row>
    <row r="7" spans="2:13">
      <c r="B7">
        <v>60</v>
      </c>
      <c r="C7">
        <v>30</v>
      </c>
      <c r="D7" s="1">
        <v>100.39</v>
      </c>
      <c r="E7" s="1">
        <v>-117.3</v>
      </c>
      <c r="F7" s="1">
        <v>59.483</v>
      </c>
      <c r="G7" s="1">
        <f t="shared" si="0"/>
        <v>7.7679268684827</v>
      </c>
      <c r="H7" s="2">
        <v>426.91</v>
      </c>
      <c r="I7" s="1">
        <v>117.22</v>
      </c>
      <c r="J7" s="1">
        <v>-105.47</v>
      </c>
      <c r="K7" s="1">
        <v>69.178</v>
      </c>
      <c r="L7" s="1">
        <f t="shared" si="1"/>
        <v>5.27639319233015</v>
      </c>
      <c r="M7" s="2">
        <v>400.35</v>
      </c>
    </row>
    <row r="8" spans="2:13">
      <c r="B8">
        <v>70</v>
      </c>
      <c r="C8">
        <v>35</v>
      </c>
      <c r="D8" s="1">
        <v>104.9</v>
      </c>
      <c r="E8" s="1">
        <v>-122.71</v>
      </c>
      <c r="F8" s="1">
        <v>61.268</v>
      </c>
      <c r="G8" s="1">
        <f t="shared" si="0"/>
        <v>7.82478801458635</v>
      </c>
      <c r="H8" s="2">
        <v>427.56</v>
      </c>
      <c r="I8" s="1">
        <v>121.45</v>
      </c>
      <c r="J8" s="1">
        <v>-113.88</v>
      </c>
      <c r="K8" s="1">
        <v>74.676</v>
      </c>
      <c r="L8" s="1">
        <f t="shared" si="1"/>
        <v>3.21675944418476</v>
      </c>
      <c r="M8" s="2">
        <v>400.06</v>
      </c>
    </row>
    <row r="9" spans="2:13">
      <c r="B9">
        <v>80</v>
      </c>
      <c r="C9">
        <v>40</v>
      </c>
      <c r="D9" s="1">
        <v>107.76</v>
      </c>
      <c r="E9" s="1">
        <v>-127.87</v>
      </c>
      <c r="F9" s="1">
        <v>62.862</v>
      </c>
      <c r="G9" s="1">
        <f t="shared" si="0"/>
        <v>8.53456690574205</v>
      </c>
      <c r="H9" s="2">
        <v>428.22</v>
      </c>
      <c r="I9" s="1">
        <v>120.93</v>
      </c>
      <c r="J9" s="1">
        <v>-120.88</v>
      </c>
      <c r="K9" s="1">
        <v>76.88</v>
      </c>
      <c r="L9" s="1">
        <f t="shared" si="1"/>
        <v>0.0206773913403132</v>
      </c>
      <c r="M9" s="2">
        <v>400.06</v>
      </c>
    </row>
    <row r="10" spans="2:13">
      <c r="B10">
        <v>90</v>
      </c>
      <c r="C10">
        <v>45</v>
      </c>
      <c r="D10" s="1">
        <v>110.17</v>
      </c>
      <c r="E10" s="1">
        <v>-132.27</v>
      </c>
      <c r="F10" s="1">
        <v>64.13</v>
      </c>
      <c r="G10" s="1">
        <f t="shared" si="0"/>
        <v>9.11565748226366</v>
      </c>
      <c r="H10" s="2">
        <v>427.13</v>
      </c>
      <c r="I10" s="1">
        <v>117.54</v>
      </c>
      <c r="J10" s="1">
        <v>127.22</v>
      </c>
      <c r="K10" s="1">
        <v>77.012</v>
      </c>
      <c r="L10" s="1">
        <f t="shared" si="1"/>
        <v>3.95489459061938</v>
      </c>
      <c r="M10" s="2">
        <v>400.16</v>
      </c>
    </row>
    <row r="11" spans="2:13">
      <c r="B11">
        <v>100</v>
      </c>
      <c r="C11">
        <v>50</v>
      </c>
      <c r="D11" s="1">
        <v>112.08</v>
      </c>
      <c r="E11" s="1">
        <v>-136.18</v>
      </c>
      <c r="F11" s="1">
        <v>65.2</v>
      </c>
      <c r="G11" s="1">
        <f t="shared" si="0"/>
        <v>9.70756464996375</v>
      </c>
      <c r="H11" s="2">
        <v>425.71</v>
      </c>
      <c r="I11" s="1">
        <v>111.42</v>
      </c>
      <c r="J11" s="1">
        <v>-129.62</v>
      </c>
      <c r="K11" s="1">
        <v>76.42</v>
      </c>
      <c r="L11" s="1">
        <f t="shared" si="1"/>
        <v>7.55061400597411</v>
      </c>
      <c r="M11" s="2">
        <v>400.64</v>
      </c>
    </row>
    <row r="12" spans="4:13">
      <c r="D12" s="1"/>
      <c r="E12" s="1"/>
      <c r="F12" s="1"/>
      <c r="G12" s="1"/>
      <c r="H12" s="2"/>
      <c r="I12" s="1"/>
      <c r="J12" s="1"/>
      <c r="K12" s="1"/>
      <c r="L12" s="1"/>
      <c r="M12" s="2"/>
    </row>
    <row r="13" spans="4:13">
      <c r="D13" s="1"/>
      <c r="E13" s="1"/>
      <c r="F13" s="1"/>
      <c r="G13" s="1"/>
      <c r="H13" s="2"/>
      <c r="I13" s="1"/>
      <c r="J13" s="1"/>
      <c r="K13" s="1"/>
      <c r="L13" s="1"/>
      <c r="M13" s="2"/>
    </row>
    <row r="14" spans="2:4">
      <c r="B14" t="s">
        <v>0</v>
      </c>
      <c r="C14" t="s">
        <v>1</v>
      </c>
      <c r="D14" t="s">
        <v>2</v>
      </c>
    </row>
    <row r="15" spans="2:4">
      <c r="B15">
        <v>10</v>
      </c>
      <c r="C15" s="1">
        <f t="shared" ref="C15:C24" si="2">F2</f>
        <v>18.943</v>
      </c>
      <c r="D15" s="1">
        <f t="shared" ref="D15:D24" si="3">K2</f>
        <v>28.05</v>
      </c>
    </row>
    <row r="16" spans="2:4">
      <c r="B16">
        <v>20</v>
      </c>
      <c r="C16" s="1">
        <f t="shared" si="2"/>
        <v>32.175</v>
      </c>
      <c r="D16" s="1">
        <f t="shared" si="3"/>
        <v>31.979</v>
      </c>
    </row>
    <row r="17" spans="2:4">
      <c r="B17">
        <v>30</v>
      </c>
      <c r="C17" s="1">
        <f t="shared" si="2"/>
        <v>42.184</v>
      </c>
      <c r="D17" s="1">
        <f t="shared" si="3"/>
        <v>40.452</v>
      </c>
    </row>
    <row r="18" spans="2:4">
      <c r="B18">
        <v>40</v>
      </c>
      <c r="C18" s="1">
        <f t="shared" si="2"/>
        <v>50.448</v>
      </c>
      <c r="D18" s="1">
        <f t="shared" si="3"/>
        <v>51.715</v>
      </c>
    </row>
    <row r="19" spans="2:4">
      <c r="B19">
        <v>50</v>
      </c>
      <c r="C19" s="1">
        <f t="shared" si="2"/>
        <v>56.027</v>
      </c>
      <c r="D19" s="1">
        <f t="shared" si="3"/>
        <v>60.278</v>
      </c>
    </row>
    <row r="20" spans="2:4">
      <c r="B20">
        <v>60</v>
      </c>
      <c r="C20" s="1">
        <f t="shared" si="2"/>
        <v>59.483</v>
      </c>
      <c r="D20" s="1">
        <f t="shared" si="3"/>
        <v>69.178</v>
      </c>
    </row>
    <row r="21" spans="2:4">
      <c r="B21">
        <v>70</v>
      </c>
      <c r="C21" s="1">
        <f t="shared" si="2"/>
        <v>61.268</v>
      </c>
      <c r="D21" s="1">
        <f t="shared" si="3"/>
        <v>74.676</v>
      </c>
    </row>
    <row r="22" spans="2:4">
      <c r="B22">
        <v>80</v>
      </c>
      <c r="C22" s="1">
        <f t="shared" si="2"/>
        <v>62.862</v>
      </c>
      <c r="D22" s="1">
        <f t="shared" si="3"/>
        <v>76.88</v>
      </c>
    </row>
    <row r="23" spans="2:4">
      <c r="B23">
        <v>90</v>
      </c>
      <c r="C23" s="1">
        <f t="shared" si="2"/>
        <v>64.13</v>
      </c>
      <c r="D23" s="1">
        <f t="shared" si="3"/>
        <v>77.012</v>
      </c>
    </row>
    <row r="24" spans="2:4">
      <c r="B24">
        <v>100</v>
      </c>
      <c r="C24" s="1">
        <f t="shared" si="2"/>
        <v>65.2</v>
      </c>
      <c r="D24" s="1">
        <f t="shared" si="3"/>
        <v>76.42</v>
      </c>
    </row>
    <row r="36" spans="2:4">
      <c r="B36" t="s">
        <v>0</v>
      </c>
      <c r="C36" t="s">
        <v>1</v>
      </c>
      <c r="D36" t="s">
        <v>2</v>
      </c>
    </row>
    <row r="37" spans="2:4">
      <c r="B37">
        <v>10</v>
      </c>
      <c r="C37" s="1">
        <f t="shared" ref="C37:C46" si="4">G2</f>
        <v>5.2262560220234</v>
      </c>
      <c r="D37" s="1">
        <f t="shared" ref="D37:D46" si="5">L2</f>
        <v>0.628447908929302</v>
      </c>
    </row>
    <row r="38" spans="2:4">
      <c r="B38">
        <v>20</v>
      </c>
      <c r="C38" s="1">
        <f t="shared" si="4"/>
        <v>11.0698164069354</v>
      </c>
      <c r="D38" s="1">
        <f t="shared" si="5"/>
        <v>1.98282451328627</v>
      </c>
    </row>
    <row r="39" spans="2:4">
      <c r="B39">
        <v>30</v>
      </c>
      <c r="C39" s="1">
        <f t="shared" si="4"/>
        <v>9.39902434040814</v>
      </c>
      <c r="D39" s="1">
        <f t="shared" si="5"/>
        <v>3.32093622278002</v>
      </c>
    </row>
    <row r="40" spans="2:4">
      <c r="B40">
        <v>40</v>
      </c>
      <c r="C40" s="1">
        <f t="shared" si="4"/>
        <v>8.15844291458314</v>
      </c>
      <c r="D40" s="1">
        <f t="shared" si="5"/>
        <v>6.65902617430436</v>
      </c>
    </row>
    <row r="41" spans="2:4">
      <c r="B41">
        <v>50</v>
      </c>
      <c r="C41" s="1">
        <f t="shared" si="4"/>
        <v>7.72371621423618</v>
      </c>
      <c r="D41" s="1">
        <f t="shared" si="5"/>
        <v>6.79386792685271</v>
      </c>
    </row>
    <row r="42" spans="2:4">
      <c r="B42">
        <v>60</v>
      </c>
      <c r="C42" s="1">
        <f t="shared" si="4"/>
        <v>7.7679268684827</v>
      </c>
      <c r="D42" s="1">
        <f t="shared" si="5"/>
        <v>5.27639319233015</v>
      </c>
    </row>
    <row r="43" spans="2:4">
      <c r="B43">
        <v>70</v>
      </c>
      <c r="C43" s="1">
        <f t="shared" si="4"/>
        <v>7.82478801458635</v>
      </c>
      <c r="D43" s="1">
        <f t="shared" si="5"/>
        <v>3.21675944418476</v>
      </c>
    </row>
    <row r="44" spans="2:4">
      <c r="B44">
        <v>80</v>
      </c>
      <c r="C44" s="1">
        <f t="shared" si="4"/>
        <v>8.53456690574205</v>
      </c>
      <c r="D44" s="1">
        <f t="shared" si="5"/>
        <v>0.0206773913403132</v>
      </c>
    </row>
    <row r="45" spans="2:4">
      <c r="B45">
        <v>90</v>
      </c>
      <c r="C45" s="1">
        <f t="shared" si="4"/>
        <v>9.11565748226366</v>
      </c>
      <c r="D45" s="1">
        <f t="shared" si="5"/>
        <v>3.95489459061938</v>
      </c>
    </row>
    <row r="46" spans="2:4">
      <c r="B46">
        <v>100</v>
      </c>
      <c r="C46" s="1">
        <f t="shared" si="4"/>
        <v>9.70756464996375</v>
      </c>
      <c r="D46" s="1">
        <f t="shared" si="5"/>
        <v>7.55061400597411</v>
      </c>
    </row>
    <row r="59" spans="2:4">
      <c r="B59" t="s">
        <v>0</v>
      </c>
      <c r="C59" t="s">
        <v>1</v>
      </c>
      <c r="D59" t="s">
        <v>2</v>
      </c>
    </row>
    <row r="60" spans="2:4">
      <c r="B60">
        <v>10</v>
      </c>
      <c r="C60" s="2">
        <f t="shared" ref="C60:C69" si="6">H2</f>
        <v>207.83</v>
      </c>
      <c r="D60" s="2">
        <f t="shared" ref="D60:D69" si="7">M2</f>
        <v>400.64</v>
      </c>
    </row>
    <row r="61" spans="2:4">
      <c r="B61">
        <v>20</v>
      </c>
      <c r="C61" s="2">
        <f t="shared" si="6"/>
        <v>415.73</v>
      </c>
      <c r="D61" s="2">
        <f t="shared" si="7"/>
        <v>400.16</v>
      </c>
    </row>
    <row r="62" spans="2:4">
      <c r="B62">
        <v>30</v>
      </c>
      <c r="C62" s="2">
        <f t="shared" si="6"/>
        <v>418.55</v>
      </c>
      <c r="D62" s="2">
        <f t="shared" si="7"/>
        <v>399.58</v>
      </c>
    </row>
    <row r="63" spans="2:4">
      <c r="B63">
        <v>40</v>
      </c>
      <c r="C63" s="2">
        <f t="shared" si="6"/>
        <v>419.81</v>
      </c>
      <c r="D63" s="2">
        <f t="shared" si="7"/>
        <v>400.16</v>
      </c>
    </row>
    <row r="64" spans="2:4">
      <c r="B64">
        <v>50</v>
      </c>
      <c r="C64" s="2">
        <f t="shared" si="6"/>
        <v>424.08</v>
      </c>
      <c r="D64" s="2">
        <f t="shared" si="7"/>
        <v>400.64</v>
      </c>
    </row>
    <row r="65" spans="2:4">
      <c r="B65">
        <v>60</v>
      </c>
      <c r="C65" s="2">
        <f t="shared" si="6"/>
        <v>426.91</v>
      </c>
      <c r="D65" s="2">
        <f t="shared" si="7"/>
        <v>400.35</v>
      </c>
    </row>
    <row r="66" spans="2:4">
      <c r="B66">
        <v>70</v>
      </c>
      <c r="C66" s="2">
        <f t="shared" si="6"/>
        <v>427.56</v>
      </c>
      <c r="D66" s="2">
        <f t="shared" si="7"/>
        <v>400.06</v>
      </c>
    </row>
    <row r="67" spans="2:4">
      <c r="B67">
        <v>80</v>
      </c>
      <c r="C67" s="2">
        <f t="shared" si="6"/>
        <v>428.22</v>
      </c>
      <c r="D67" s="2">
        <f t="shared" si="7"/>
        <v>400.06</v>
      </c>
    </row>
    <row r="68" spans="2:4">
      <c r="B68">
        <v>90</v>
      </c>
      <c r="C68" s="2">
        <f t="shared" si="6"/>
        <v>427.13</v>
      </c>
      <c r="D68" s="2">
        <f t="shared" si="7"/>
        <v>400.16</v>
      </c>
    </row>
    <row r="69" spans="2:4">
      <c r="B69">
        <v>100</v>
      </c>
      <c r="C69" s="2">
        <f t="shared" si="6"/>
        <v>425.71</v>
      </c>
      <c r="D69" s="2">
        <f t="shared" si="7"/>
        <v>400.64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margabudi</dc:creator>
  <cp:lastModifiedBy>MM</cp:lastModifiedBy>
  <dcterms:created xsi:type="dcterms:W3CDTF">2025-08-14T10:48:46Z</dcterms:created>
  <dcterms:modified xsi:type="dcterms:W3CDTF">2025-08-14T13:37:50Z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9358E812559092D99E5C9D680783DBC4_41</vt:lpwstr>
  </property>
  <property fmtid="{D5CDD505-2E9C-101B-9397-08002B2CF9AE}" pid="3" name="KSOProductBuildVer">
    <vt:lpwstr>1033-6.13.1.8709</vt:lpwstr>
  </property>
</Properties>
</file>