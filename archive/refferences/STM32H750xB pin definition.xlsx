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margabudi/Documents/hardware/ESU/archive/refferences/"/>
    </mc:Choice>
  </mc:AlternateContent>
  <xr:revisionPtr revIDLastSave="0" documentId="13_ncr:1_{18017E82-1CDF-7541-8BC6-6CF795E090B6}" xr6:coauthVersionLast="47" xr6:coauthVersionMax="47" xr10:uidLastSave="{00000000-0000-0000-0000-000000000000}"/>
  <bookViews>
    <workbookView xWindow="0" yWindow="600" windowWidth="33600" windowHeight="20400" activeTab="2" xr2:uid="{00000000-000D-0000-FFFF-FFFF00000000}"/>
  </bookViews>
  <sheets>
    <sheet name="ALL" sheetId="1" r:id="rId1"/>
    <sheet name="TIM, LPTIM, HRTIM" sheetId="2" r:id="rId2"/>
    <sheet name="SPI, I2S, USART, UART, I2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9" i="1" l="1"/>
  <c r="U99" i="1"/>
  <c r="V98" i="1"/>
  <c r="U98" i="1"/>
  <c r="V97" i="1"/>
  <c r="U97" i="1"/>
  <c r="V96" i="1"/>
  <c r="U96" i="1"/>
  <c r="V95" i="1"/>
  <c r="U95" i="1"/>
  <c r="V94" i="1"/>
  <c r="U94" i="1"/>
  <c r="V93" i="1"/>
  <c r="U93" i="1"/>
  <c r="V92" i="1"/>
  <c r="U92" i="1"/>
  <c r="V91" i="1"/>
  <c r="U91" i="1"/>
  <c r="V90" i="1"/>
  <c r="U90" i="1"/>
  <c r="V89" i="1"/>
  <c r="U89" i="1"/>
  <c r="V88" i="1"/>
  <c r="U88" i="1"/>
  <c r="V87" i="1"/>
  <c r="U87" i="1"/>
  <c r="V86" i="1"/>
  <c r="U86" i="1"/>
  <c r="V85" i="1"/>
  <c r="U85" i="1"/>
  <c r="V84" i="1"/>
  <c r="U84" i="1"/>
  <c r="V83" i="1"/>
  <c r="U83" i="1"/>
  <c r="V82" i="1"/>
  <c r="U82" i="1"/>
  <c r="V81" i="1"/>
  <c r="U81" i="1"/>
  <c r="V80" i="1"/>
  <c r="U80" i="1"/>
  <c r="V79" i="1"/>
  <c r="U79" i="1"/>
  <c r="V78" i="1"/>
  <c r="U78" i="1"/>
  <c r="V77" i="1"/>
  <c r="U77" i="1"/>
  <c r="V76" i="1"/>
  <c r="U76" i="1"/>
  <c r="V75" i="1"/>
  <c r="U75" i="1"/>
  <c r="V74" i="1"/>
  <c r="U74" i="1"/>
  <c r="V73" i="1"/>
  <c r="U73" i="1"/>
  <c r="V72" i="1"/>
  <c r="U72" i="1"/>
  <c r="V71" i="1"/>
  <c r="U71" i="1"/>
  <c r="V70" i="1"/>
  <c r="U70" i="1"/>
  <c r="V69" i="1"/>
  <c r="U69" i="1"/>
  <c r="V68" i="1"/>
  <c r="U68" i="1"/>
  <c r="V67" i="1"/>
  <c r="U67" i="1"/>
  <c r="V66" i="1"/>
  <c r="U66" i="1"/>
  <c r="V65" i="1"/>
  <c r="U65" i="1"/>
  <c r="V64" i="1"/>
  <c r="U64" i="1"/>
  <c r="V63" i="1"/>
  <c r="U63" i="1"/>
  <c r="V62" i="1"/>
  <c r="U62" i="1"/>
  <c r="V61" i="1"/>
  <c r="U61" i="1"/>
  <c r="V60" i="1"/>
  <c r="U60" i="1"/>
  <c r="V59" i="1"/>
  <c r="U59" i="1"/>
  <c r="V58" i="1"/>
  <c r="U58" i="1"/>
  <c r="V57" i="1"/>
  <c r="U57" i="1"/>
  <c r="V56" i="1"/>
  <c r="U56" i="1"/>
  <c r="V55" i="1"/>
  <c r="U55" i="1"/>
  <c r="V54" i="1"/>
  <c r="U54" i="1"/>
  <c r="V53" i="1"/>
  <c r="U53" i="1"/>
  <c r="V52" i="1"/>
  <c r="U52" i="1"/>
  <c r="V51" i="1"/>
  <c r="U51" i="1"/>
  <c r="V50" i="1"/>
  <c r="U50" i="1"/>
  <c r="V49" i="1"/>
  <c r="U49" i="1"/>
  <c r="V48" i="1"/>
  <c r="U48" i="1"/>
  <c r="V47" i="1"/>
  <c r="U47" i="1"/>
  <c r="V46" i="1"/>
  <c r="U46" i="1"/>
  <c r="V45" i="1"/>
  <c r="U45" i="1"/>
  <c r="V44" i="1"/>
  <c r="U44" i="1"/>
  <c r="V43" i="1"/>
  <c r="U43" i="1"/>
  <c r="V42" i="1"/>
  <c r="U42" i="1"/>
  <c r="V41" i="1"/>
  <c r="U41" i="1"/>
  <c r="V40" i="1"/>
  <c r="U40" i="1"/>
  <c r="V39" i="1"/>
  <c r="U39" i="1"/>
  <c r="V38" i="1"/>
  <c r="U38" i="1"/>
  <c r="V37" i="1"/>
  <c r="U37" i="1"/>
  <c r="V36" i="1"/>
  <c r="U36" i="1"/>
  <c r="V35" i="1"/>
  <c r="U35" i="1"/>
  <c r="V34" i="1"/>
  <c r="U34" i="1"/>
  <c r="V33" i="1"/>
  <c r="U33" i="1"/>
  <c r="V32" i="1"/>
  <c r="U32" i="1"/>
  <c r="V31" i="1"/>
  <c r="U31" i="1"/>
  <c r="V30" i="1"/>
  <c r="U30" i="1"/>
  <c r="V29" i="1"/>
  <c r="U29" i="1"/>
  <c r="V28" i="1"/>
  <c r="U28" i="1"/>
  <c r="V27" i="1"/>
  <c r="U27" i="1"/>
  <c r="V26" i="1"/>
  <c r="U26" i="1"/>
  <c r="V25" i="1"/>
  <c r="U25" i="1"/>
  <c r="V24" i="1"/>
  <c r="U24" i="1"/>
  <c r="V23" i="1"/>
  <c r="U23" i="1"/>
  <c r="V22" i="1"/>
  <c r="U22" i="1"/>
  <c r="V21" i="1"/>
  <c r="U21" i="1"/>
  <c r="V20" i="1"/>
  <c r="U20" i="1"/>
  <c r="V19" i="1"/>
  <c r="U19" i="1"/>
  <c r="V18" i="1"/>
  <c r="U18" i="1"/>
  <c r="V17" i="1"/>
  <c r="U17" i="1"/>
  <c r="V16" i="1"/>
  <c r="U16" i="1"/>
  <c r="V15" i="1"/>
  <c r="U15" i="1"/>
  <c r="V14" i="1"/>
  <c r="U14" i="1"/>
  <c r="V13" i="1"/>
  <c r="U13" i="1"/>
  <c r="V12" i="1"/>
  <c r="U12" i="1"/>
  <c r="V11" i="1"/>
  <c r="U11" i="1"/>
  <c r="V10" i="1"/>
  <c r="U10" i="1"/>
  <c r="V9" i="1"/>
  <c r="U9" i="1"/>
  <c r="V8" i="1"/>
  <c r="U8" i="1"/>
  <c r="V7" i="1"/>
  <c r="U7" i="1"/>
  <c r="V6" i="1"/>
  <c r="U6" i="1"/>
  <c r="V5" i="1"/>
  <c r="U5" i="1"/>
  <c r="V4" i="1"/>
  <c r="U4" i="1"/>
  <c r="V3" i="1"/>
  <c r="U3" i="1"/>
  <c r="V2" i="1"/>
  <c r="U2" i="1"/>
</calcChain>
</file>

<file path=xl/sharedStrings.xml><?xml version="1.0" encoding="utf-8"?>
<sst xmlns="http://schemas.openxmlformats.org/spreadsheetml/2006/main" count="1599" uniqueCount="819">
  <si>
    <t>PIN #</t>
  </si>
  <si>
    <t>PIN NAME</t>
  </si>
  <si>
    <t>PIN TYPE</t>
  </si>
  <si>
    <t>I/O STRUCTURE</t>
  </si>
  <si>
    <t>TRACE / SYSTEM / DEBUG</t>
  </si>
  <si>
    <t>TIMERS (TIM / HRTIM / LPTIM)</t>
  </si>
  <si>
    <t>SPI / I2S</t>
  </si>
  <si>
    <t>USART / UART</t>
  </si>
  <si>
    <t>I2C</t>
  </si>
  <si>
    <t>SAI</t>
  </si>
  <si>
    <t>FDCAN</t>
  </si>
  <si>
    <t>ETH</t>
  </si>
  <si>
    <t>USB / OTG</t>
  </si>
  <si>
    <t>FMC / QUADSPI / SDMMC</t>
  </si>
  <si>
    <t>DCMI</t>
  </si>
  <si>
    <t>LCD</t>
  </si>
  <si>
    <t>DFSDM / ANALOG / PERIPHERALS</t>
  </si>
  <si>
    <t>EVENTOUT</t>
  </si>
  <si>
    <t>ADDITIONAL FUNCTIONS</t>
  </si>
  <si>
    <t>ALTERNATE FUNCTIONS</t>
  </si>
  <si>
    <t>1</t>
  </si>
  <si>
    <t>PE2</t>
  </si>
  <si>
    <t>I/O</t>
  </si>
  <si>
    <t>FT_h</t>
  </si>
  <si>
    <t>TRACECLK</t>
  </si>
  <si>
    <t>SPI4_SCK</t>
  </si>
  <si>
    <t>SAI1_CK1, SAI1_MCLK_A, SAI4_MCLK_A, SAI4_CK1</t>
  </si>
  <si>
    <t>ETH_MII_TXD3</t>
  </si>
  <si>
    <t>QUADSPI_BK1_IO2, FMC_A23</t>
  </si>
  <si>
    <t>TRACECLK, SAI1_CK1, SPI4_SCK, SAI1_MCLK_A, SAI4_MCLK_A, QUADSPI_BK1_IO2, SAI4_CK1, ETH_MII_TXD3, FMC_A23, EVENTOUT</t>
  </si>
  <si>
    <t>2</t>
  </si>
  <si>
    <t>PE3</t>
  </si>
  <si>
    <t>TRACED0</t>
  </si>
  <si>
    <t>TIM15_BKIN</t>
  </si>
  <si>
    <t>SAI1_SD_B, SAI4_SD_B</t>
  </si>
  <si>
    <t>FMC_A19</t>
  </si>
  <si>
    <t>TRACED0, TIM15_BKIN, SAI1_SD_B, SAI4_SD_B, FMC_A19, EVENTOUT</t>
  </si>
  <si>
    <t>3</t>
  </si>
  <si>
    <t>PE4</t>
  </si>
  <si>
    <t>TRACED1</t>
  </si>
  <si>
    <t>TIM15_CH1N</t>
  </si>
  <si>
    <t>SPI4_NSS</t>
  </si>
  <si>
    <t>SAI1_D2, SAI1_FS_A, SAI4_FS_A, SAI4_D2</t>
  </si>
  <si>
    <t>FMC_A20</t>
  </si>
  <si>
    <t>DCMI_D4</t>
  </si>
  <si>
    <t>LCD_B0</t>
  </si>
  <si>
    <t>DFSDM1_DATIN3</t>
  </si>
  <si>
    <t>TRACED1, SAI1_D2, DFSDM1_DATIN3, TIM15_CH1N, SPI4_NSS, SAI1_FS_A, SAI4_FS_A, SAI4_D2, FMC_A20, DCMI_D4, LCD_B0, EVENTOUT</t>
  </si>
  <si>
    <t>4</t>
  </si>
  <si>
    <t>PE5</t>
  </si>
  <si>
    <t>TRACED2</t>
  </si>
  <si>
    <t>TIM15_CH1</t>
  </si>
  <si>
    <t>SPI4_MISO</t>
  </si>
  <si>
    <t>SAI1_CK2, SAI1_SCK_A, SAI4_SCK_A, SAI4_CK2</t>
  </si>
  <si>
    <t>FMC_A21</t>
  </si>
  <si>
    <t>DCMI_D6</t>
  </si>
  <si>
    <t>LCD_G0</t>
  </si>
  <si>
    <t>DFSDM1_CKIN3</t>
  </si>
  <si>
    <t>TRACED2, SAI1_CK2, DFSDM1_CKIN3, TIM15_CH1, SPI4_MISO, SAI1_SCK_A, SAI4_SCK_A, SAI4_CK2, FMC_A21, DCMI_D6, LCD_G0, EVENTOUT</t>
  </si>
  <si>
    <t>5</t>
  </si>
  <si>
    <t>PE6</t>
  </si>
  <si>
    <t>TRACED3</t>
  </si>
  <si>
    <t>TIM1_BKIN2, TIM15_CH2, TIM1_BKIN2_COMP12</t>
  </si>
  <si>
    <t>SPI4_MOSI</t>
  </si>
  <si>
    <t>SAI1_D1, SAI1_SD_A, SAI4_SD_A, SAI4_D1, SAI2_MCLK_B</t>
  </si>
  <si>
    <t>FMC_A22</t>
  </si>
  <si>
    <t>DCMI_D7</t>
  </si>
  <si>
    <t>LCD_G1</t>
  </si>
  <si>
    <t>TRACED3, TIM1_BKIN2, SAI1_D1, TIM15_CH2, SPI4_MOSI, SAI1_SD_A, SAI4_SD_A, SAI4_D1, SAI2_MCLK_B, TIM1_BKIN2_COMP12, FMC_A22, DCMI_D7, LCD_G1, EVENTOUT</t>
  </si>
  <si>
    <t>6</t>
  </si>
  <si>
    <t>VBAT</t>
  </si>
  <si>
    <t>S</t>
  </si>
  <si>
    <t>7</t>
  </si>
  <si>
    <t>PC13</t>
  </si>
  <si>
    <t>FT</t>
  </si>
  <si>
    <t>RTC_OUT/RTC_TAMP1/RTC_TS/WKUP4</t>
  </si>
  <si>
    <t>8</t>
  </si>
  <si>
    <t>PC14</t>
  </si>
  <si>
    <t>OSC32_IN</t>
  </si>
  <si>
    <t>9</t>
  </si>
  <si>
    <t>PC15</t>
  </si>
  <si>
    <t>OSC32_OUT</t>
  </si>
  <si>
    <t>10</t>
  </si>
  <si>
    <t>VSS</t>
  </si>
  <si>
    <t>11</t>
  </si>
  <si>
    <t>VDD</t>
  </si>
  <si>
    <t>12</t>
  </si>
  <si>
    <t>PH0-OSC_IN</t>
  </si>
  <si>
    <t>OSC_IN</t>
  </si>
  <si>
    <t>EVENTOUT </t>
  </si>
  <si>
    <t>13</t>
  </si>
  <si>
    <t>PH1-OSC_OUT</t>
  </si>
  <si>
    <t>OSC_OUT</t>
  </si>
  <si>
    <t>14</t>
  </si>
  <si>
    <t>NRST</t>
  </si>
  <si>
    <t>RST</t>
  </si>
  <si>
    <t>15</t>
  </si>
  <si>
    <t>PC0</t>
  </si>
  <si>
    <t>FT_a</t>
  </si>
  <si>
    <t>SAI2_FS_B</t>
  </si>
  <si>
    <t>OTG_HS_ULPI_STP</t>
  </si>
  <si>
    <t>FMC_SDNWE</t>
  </si>
  <si>
    <t>LCD_R5</t>
  </si>
  <si>
    <t>DFSDM1_CKIN0, DFSDM1_DATIN4</t>
  </si>
  <si>
    <t>ADC123_INP10</t>
  </si>
  <si>
    <t>DFSDM1_CKIN0, DFSDM1_DATIN4, SAI2_FS_B, OTG_HS_ULPI_STP, FMC_SDNWE, LCD_R5, EVENTOUT</t>
  </si>
  <si>
    <t>16</t>
  </si>
  <si>
    <t>PC1</t>
  </si>
  <si>
    <t>FT_ha</t>
  </si>
  <si>
    <t>SPI2_MOSI/I2S2_SDO</t>
  </si>
  <si>
    <t>SAI1_D1, SAI1_SD_A, SAI4_SD_A, SAI4_D1</t>
  </si>
  <si>
    <t>ETH_MDC</t>
  </si>
  <si>
    <t>SDMMC2_CK</t>
  </si>
  <si>
    <t>DFSDM1_DATIN0, DFSDM1_CKIN4, MDIOS_MDC</t>
  </si>
  <si>
    <t>ADC123_INN10, ADC123_INP11, RTC_TAMP3/WKUP6</t>
  </si>
  <si>
    <t>TRACED0, SAI1_D1, DFSDM1_DATIN0, DFSDM1_CKIN4, SPI2_MOSI/I2S2_SDO, SAI1_SD_A, SAI4_SD_A, SDMMC2_CK, SAI4_D1, ETH_MDC, MDIOS_MDC, EVENTOUT</t>
  </si>
  <si>
    <t>17(4)</t>
  </si>
  <si>
    <t>PC2_C</t>
  </si>
  <si>
    <t>ANA</t>
  </si>
  <si>
    <t>TT_a</t>
  </si>
  <si>
    <t>ADC3_INN1, ADC3_INP0</t>
  </si>
  <si>
    <t>18(4)</t>
  </si>
  <si>
    <t>PC3_C</t>
  </si>
  <si>
    <t>ADC3_INP1</t>
  </si>
  <si>
    <t>19</t>
  </si>
  <si>
    <t>VSSA</t>
  </si>
  <si>
    <t>20</t>
  </si>
  <si>
    <t>VREF+</t>
  </si>
  <si>
    <t>21</t>
  </si>
  <si>
    <t>VDDA</t>
  </si>
  <si>
    <t>22</t>
  </si>
  <si>
    <t>PA0</t>
  </si>
  <si>
    <t>TIM2_CH1/TIM2_ETR, TIM5_CH1, TIM8_ETR, TIM15_BKIN</t>
  </si>
  <si>
    <t>USART2_CTS/USART2_NSS, UART4_TX</t>
  </si>
  <si>
    <t>SAI2_SD_B</t>
  </si>
  <si>
    <t>ETH_MII_CRS</t>
  </si>
  <si>
    <t>SDMMC2_CMD</t>
  </si>
  <si>
    <t>ADC1_INP16, WKUP1</t>
  </si>
  <si>
    <t>TIM2_CH1/TIM2_ETR, TIM5_CH1, TIM8_ETR, TIM15_BKIN, USART2_CTS/USART2_NSS, UART4_TX, SDMMC2_CMD, SAI2_SD_B, ETH_MII_CRS, EVENTOUT</t>
  </si>
  <si>
    <t>23</t>
  </si>
  <si>
    <t>PA1</t>
  </si>
  <si>
    <t>TIM2_CH2, TIM5_CH2, LPTIM3_OUT, TIM15_CH1N</t>
  </si>
  <si>
    <t>USART2_RTS/USART2_DE, UART4_RX</t>
  </si>
  <si>
    <t>SAI2_MCLK_B</t>
  </si>
  <si>
    <t>ETH_MII_RX_CLK/ETH_RMII_RE F_CLK</t>
  </si>
  <si>
    <t>QUADSPI_BK1_IO3</t>
  </si>
  <si>
    <t>LCD_R2</t>
  </si>
  <si>
    <t>ADC1_INN16, ADC1_INP17</t>
  </si>
  <si>
    <t>TIM2_CH2, TIM5_CH2, LPTIM3_OUT, TIM15_CH1N, USART2_RTS/USART2_DE, UART4_RX, QUADSPI_BK1_IO3, SAI2_MCLK_B, ETH_MII_RX_CLK/ETH_RMII_RE F_CLK, LCD_R2, EVENTOUT</t>
  </si>
  <si>
    <t>24</t>
  </si>
  <si>
    <t>PA2</t>
  </si>
  <si>
    <t>TIM2_CH3, TIM5_CH3, LPTIM4_OUT, TIM15_CH1</t>
  </si>
  <si>
    <t>USART2_TX</t>
  </si>
  <si>
    <t>SAI2_SCK_B</t>
  </si>
  <si>
    <t>ETH_MDIO</t>
  </si>
  <si>
    <t>LCD_R1</t>
  </si>
  <si>
    <t>MDIOS_MDIO</t>
  </si>
  <si>
    <t>ADC12_INP14, WKUP2</t>
  </si>
  <si>
    <t>TIM2_CH3, TIM5_CH3, LPTIM4_OUT, TIM15_CH1, USART2_TX, SAI2_SCK_B, ETH_MDIO, MDIOS_MDIO, LCD_R1, EVENTOUT</t>
  </si>
  <si>
    <t>25</t>
  </si>
  <si>
    <t>PA3</t>
  </si>
  <si>
    <t>TIM2_CH4, TIM5_CH4, LPTIM5_OUT, TIM15_CH2</t>
  </si>
  <si>
    <t>USART2_RX</t>
  </si>
  <si>
    <t>ETH_MII_COL</t>
  </si>
  <si>
    <t>OTG_HS_ULPI_D0</t>
  </si>
  <si>
    <t>LCD_B2, LCD_B5</t>
  </si>
  <si>
    <t>ADC12_INP15</t>
  </si>
  <si>
    <t>TIM2_CH4, TIM5_CH4, LPTIM5_OUT, TIM15_CH2, USART2_RX, LCD_B2, OTG_HS_ULPI_D0, ETH_MII_COL, LCD_B5, EVENTOUT</t>
  </si>
  <si>
    <t>26</t>
  </si>
  <si>
    <t>27</t>
  </si>
  <si>
    <t>28</t>
  </si>
  <si>
    <t>PA4</t>
  </si>
  <si>
    <t>D1PWREN</t>
  </si>
  <si>
    <t>TIM5_ETR</t>
  </si>
  <si>
    <t>SPI1_NSS/I2S1_WS, SPI3_NSS/I2S3_WS, SPI6_NSS</t>
  </si>
  <si>
    <t>USART2_CK</t>
  </si>
  <si>
    <t>OTG_HS_SOF</t>
  </si>
  <si>
    <t>DCMI_HSYNC</t>
  </si>
  <si>
    <t>LCD_VSYNC</t>
  </si>
  <si>
    <t>ADC12_INP18, DAC1_OUT1</t>
  </si>
  <si>
    <t>D1PWREN, TIM5_ETR, SPI1_NSS/I2S1_WS, SPI3_NSS/I2S3_WS, USART2_CK, SPI6_NSS, OTG_HS_SOF, DCMI_HSYNC, LCD_VSYNC, EVENTOUT</t>
  </si>
  <si>
    <t>29</t>
  </si>
  <si>
    <t>PA5</t>
  </si>
  <si>
    <t>TT_ha</t>
  </si>
  <si>
    <t>D2PWREN</t>
  </si>
  <si>
    <t>TIM2_CH1/TIM2_ETR, TIM8_CH1N</t>
  </si>
  <si>
    <t>SPI1_SCK/I2S1_CK, SPI6_SCK</t>
  </si>
  <si>
    <t>OTG_HS_ULPI_CK</t>
  </si>
  <si>
    <t>LCD_R4</t>
  </si>
  <si>
    <t>ADC12_INN18, ADC12_INP19, DAC1_OUT2</t>
  </si>
  <si>
    <t>D2PWREN, TIM2_CH1/TIM2_ETR, TIM8_CH1N, SPI1_SCK/I2S1_CK, SPI6_SCK, OTG_HS_ULPI_CK, LCD_R4, EVENTOUT</t>
  </si>
  <si>
    <t>30</t>
  </si>
  <si>
    <t>PA6</t>
  </si>
  <si>
    <t>TIM1_BKIN, TIM3_CH1, TIM8_BKIN, TIM13_CH1, TIM8_BKIN_COMP12, TIM1_BKIN_COMP12</t>
  </si>
  <si>
    <t>SPI1_MISO/I2S1_SDI, SPI6_MISO</t>
  </si>
  <si>
    <t>DCMI_PIXCLK</t>
  </si>
  <si>
    <t>LCD_G2</t>
  </si>
  <si>
    <t>MDIOS_MDC</t>
  </si>
  <si>
    <t>ADC12_INP3</t>
  </si>
  <si>
    <t>TIM1_BKIN, TIM3_CH1, TIM8_BKIN, SPI1_MISO/I2S1_SDI, SPI6_MISO, TIM13_CH1, TIM8_BKIN_COMP12, MDIOS_MDC, TIM1_BKIN_COMP12, DCMI_PIXCLK, LCD_G2, EVENTOUT</t>
  </si>
  <si>
    <t>31</t>
  </si>
  <si>
    <t>PA7</t>
  </si>
  <si>
    <t>TIM1_CH1N, TIM3_CH2, TIM8_CH1N, TIM14_CH1</t>
  </si>
  <si>
    <t>SPI1_MOSI/I2S1_SDO, SPI6_MOSI</t>
  </si>
  <si>
    <t>ETH_MII_RX_DV/ETH_RMII_CRS_DV</t>
  </si>
  <si>
    <t>ADC12_INN3, ADC12_INP7, OPAMP1_VINM</t>
  </si>
  <si>
    <t>TIM1_CH1N, TIM3_CH2, TIM8_CH1N, SPI1_MOSI/I2S1_SDO, SPI6_MOSI, TIM14_CH1, ETH_MII_RX_DV/ETH_RMII_CRS_DV, FMC_SDNWE, EVENTOUT</t>
  </si>
  <si>
    <t>32</t>
  </si>
  <si>
    <t>PC4</t>
  </si>
  <si>
    <t>C2DSLEEP</t>
  </si>
  <si>
    <t>I2S1_MCK</t>
  </si>
  <si>
    <t>ETH_MII_RXD0/ETH_RMII_RXD0</t>
  </si>
  <si>
    <t>FMC_SDNE0</t>
  </si>
  <si>
    <t>DFSDM1_CKIN2, SPDIFRX1_IN3</t>
  </si>
  <si>
    <t>ADC12_INP4, OPAMP1_VOUT, COMP1_INM</t>
  </si>
  <si>
    <t>C2DSLEEP, DFSDM1_CKIN2, I2S1_MCK, SPDIFRX1_IN3, ETH_MII_RXD0/ETH_RMII_RXD0, FMC_SDNE0, EVENTOUT</t>
  </si>
  <si>
    <t>33</t>
  </si>
  <si>
    <t>PC5</t>
  </si>
  <si>
    <t>C2SLEEP</t>
  </si>
  <si>
    <t>SAI1_D3, SAI4_D3</t>
  </si>
  <si>
    <t>ETH_MII_RXD1/ETH_RMII_RXD1</t>
  </si>
  <si>
    <t>FMC_SDCKE0</t>
  </si>
  <si>
    <t>DFSDM1_DATIN2, SPDIFRX1_IN4, COMP1_OUT</t>
  </si>
  <si>
    <t>ADC12_INN4, ADC12_INP8, OPAMP1_VINM</t>
  </si>
  <si>
    <t>C2SLEEP, SAI1_D3, DFSDM1_DATIN2, SPDIFRX1_IN4, SAI4_D3, ETH_MII_RXD1/ETH_RMII_RXD1, FMC_SDCKE0, COMP1_OUT, EVENTOUT</t>
  </si>
  <si>
    <t>34</t>
  </si>
  <si>
    <t>PB0</t>
  </si>
  <si>
    <t>TIM1_CH2N, TIM3_CH3, TIM8_CH2N</t>
  </si>
  <si>
    <t>UART4_CTS</t>
  </si>
  <si>
    <t>ETH_MII_RXD2</t>
  </si>
  <si>
    <t>OTG_HS_ULPI_D1</t>
  </si>
  <si>
    <t>LCD_R3, LCD_G1</t>
  </si>
  <si>
    <t>DFSDM1_CKOUT</t>
  </si>
  <si>
    <t>ADC12_INN5, ADC12_INP9, OPAMP1_VINP, COMP1_INP</t>
  </si>
  <si>
    <t>TIM1_CH2N, TIM3_CH3, TIM8_CH2N, DFSDM1_CKOUT, UART4_CTS, LCD_R3, OTG_HS_ULPI_D1, ETH_MII_RXD2, LCD_G1, EVENTOUT</t>
  </si>
  <si>
    <t>35</t>
  </si>
  <si>
    <t>PB1</t>
  </si>
  <si>
    <t>TIM1_CH3N, TIM3_CH4, TIM8_CH3N</t>
  </si>
  <si>
    <t>ETH_MII_RXD3</t>
  </si>
  <si>
    <t>OTG_HS_ULPI_D2</t>
  </si>
  <si>
    <t>LCD_R6, LCD_G0</t>
  </si>
  <si>
    <t>DFSDM1_DATIN1</t>
  </si>
  <si>
    <t>ADC12_INP5, COMP1_INM</t>
  </si>
  <si>
    <t>TIM1_CH3N, TIM3_CH4, TIM8_CH3N, DFSDM1_DATIN1, LCD_R6, OTG_HS_ULPI_D2, ETH_MII_RXD3, LCD_G0, EVENTOUT</t>
  </si>
  <si>
    <t>36</t>
  </si>
  <si>
    <t>PB2</t>
  </si>
  <si>
    <t>RTC_OUT</t>
  </si>
  <si>
    <t>SPI3_MOSI/I2S3_SDO</t>
  </si>
  <si>
    <t>ETH_TX_ER</t>
  </si>
  <si>
    <t>QUADSPI_CLK</t>
  </si>
  <si>
    <t>DFSDM1_CKIN1</t>
  </si>
  <si>
    <t>COMP1_INP</t>
  </si>
  <si>
    <t>RTC_OUT, SAI1_D1, DFSDM1_CKIN1, SAI1_SD_A, SPI3_MOSI/I2S3_SDO, SAI4_SD_A, QUADSPI_CLK, SAI4_D1, ETH_TX_ER, EVENTOUT</t>
  </si>
  <si>
    <t>37</t>
  </si>
  <si>
    <t>PE7</t>
  </si>
  <si>
    <t>TIM1_ETR</t>
  </si>
  <si>
    <t>UART7_RX</t>
  </si>
  <si>
    <t>QUADSPI_BK2_IO0, FMC_D4/FMC_DA4</t>
  </si>
  <si>
    <t>DFSDM1_DATIN2</t>
  </si>
  <si>
    <t>OPAMP2_VOUT, COMP2_INM</t>
  </si>
  <si>
    <t>TIM1_ETR, DFSDM1_DATIN2, UART7_RX, QUADSPI_BK2_IO0, FMC_D4/FMC_DA4, EVENTOUT</t>
  </si>
  <si>
    <t>38</t>
  </si>
  <si>
    <t>PE8</t>
  </si>
  <si>
    <t>TIM1_CH1N</t>
  </si>
  <si>
    <t>UART7_TX</t>
  </si>
  <si>
    <t>QUADSPI_BK2_IO1, FMC_D5/FMC_DA5</t>
  </si>
  <si>
    <t>DFSDM1_CKIN2, COMP2_OUT</t>
  </si>
  <si>
    <t>OPAMP2_VINM</t>
  </si>
  <si>
    <t>TIM1_CH1N, DFSDM1_CKIN2, UART7_TX, QUADSPI_BK2_IO1, FMC_D5/FMC_DA5, COMP2_OUT, EVENTOUT</t>
  </si>
  <si>
    <t>39</t>
  </si>
  <si>
    <t>PE9</t>
  </si>
  <si>
    <t>TIM1_CH1</t>
  </si>
  <si>
    <t>UART7_RTS/UART7_DE</t>
  </si>
  <si>
    <t>QUADSPI_BK2_IO2, FMC_D6/FMC_DA6</t>
  </si>
  <si>
    <t>OPAMP2_VINP, COMP2_INP</t>
  </si>
  <si>
    <t>TIM1_CH1, DFSDM1_CKOUT, UART7_RTS/UART7_DE, QUADSPI_BK2_IO2, FMC_D6/FMC_DA6, EVENTOUT</t>
  </si>
  <si>
    <t>40</t>
  </si>
  <si>
    <t>PE10</t>
  </si>
  <si>
    <t>TIM1_CH2N</t>
  </si>
  <si>
    <t>UART7_CTS</t>
  </si>
  <si>
    <t>QUADSPI_BK2_IO3, FMC_D7/FMC_DA7</t>
  </si>
  <si>
    <t>DFSDM1_DATIN4</t>
  </si>
  <si>
    <t>COMP2_INM</t>
  </si>
  <si>
    <t>TIM1_CH2N, DFSDM1_DATIN4, UART7_CTS, QUADSPI_BK2_IO3, FMC_D7/FMC_DA7, EVENTOUT</t>
  </si>
  <si>
    <t>41</t>
  </si>
  <si>
    <t>PE11</t>
  </si>
  <si>
    <t>TIM1_CH2</t>
  </si>
  <si>
    <t>FMC_D8/FMC_DA8</t>
  </si>
  <si>
    <t>LCD_G3</t>
  </si>
  <si>
    <t>DFSDM1_CKIN4</t>
  </si>
  <si>
    <t>COMP2_INP</t>
  </si>
  <si>
    <t>TIM1_CH2, DFSDM1_CKIN4, SPI4_NSS, SAI2_SD_B, FMC_D8/FMC_DA8, LCD_G3, EVENTOUT</t>
  </si>
  <si>
    <t>42</t>
  </si>
  <si>
    <t>PE12</t>
  </si>
  <si>
    <t>TIM1_CH3N</t>
  </si>
  <si>
    <t>FMC_D9/FMC_DA9</t>
  </si>
  <si>
    <t>LCD_B4</t>
  </si>
  <si>
    <t>DFSDM1_DATIN5, COMP1_OUT</t>
  </si>
  <si>
    <t>TIM1_CH3N, DFSDM1_DATIN5, SPI4_SCK, SAI2_SCK_B, FMC_D9/FMC_DA9, COMP1_OUT, LCD_B4, EVENTOUT</t>
  </si>
  <si>
    <t>43</t>
  </si>
  <si>
    <t>PE13</t>
  </si>
  <si>
    <t>TIM1_CH3</t>
  </si>
  <si>
    <t>FMC_D10/FMC_DA10</t>
  </si>
  <si>
    <t>LCD_DE</t>
  </si>
  <si>
    <t>DFSDM1_CKIN5, COMP2_OUT</t>
  </si>
  <si>
    <t>TIM1_CH3, DFSDM1_CKIN5, SPI4_MISO, SAI2_FS_B, FMC_D10/FMC_DA10, COMP2_OUT, LCD_DE, EVENTOUT</t>
  </si>
  <si>
    <t>44</t>
  </si>
  <si>
    <t>PE14</t>
  </si>
  <si>
    <t>TIM1_CH4</t>
  </si>
  <si>
    <t>FMC_D11/FMC_DA11</t>
  </si>
  <si>
    <t>LCD_CLK</t>
  </si>
  <si>
    <t>TIM1_CH4, SPI4_MOSI, SAI2_MCLK_B, FMC_D11/FMC_DA11, LCD_CLK, EVENTOUT</t>
  </si>
  <si>
    <t>45</t>
  </si>
  <si>
    <t>PE15</t>
  </si>
  <si>
    <t>TIM1_BKIN, TIM1_BKIN_COMP12/COMP_ TIM1_BKIN</t>
  </si>
  <si>
    <t>FMC_D12/FMC_DA12</t>
  </si>
  <si>
    <t>LCD_R7</t>
  </si>
  <si>
    <t>TIM1_BKIN, FMC_D12/FMC_DA12, TIM1_BKIN_COMP12/COMP_ TIM1_BKIN, LCD_R7, EVENTOUT</t>
  </si>
  <si>
    <t>46</t>
  </si>
  <si>
    <t>PB10</t>
  </si>
  <si>
    <t>FT_f</t>
  </si>
  <si>
    <t>TIM2_CH3, HRTIM_SCOUT, LPTIM2_IN1</t>
  </si>
  <si>
    <t>SPI2_SCK/I2S2_CK</t>
  </si>
  <si>
    <t>USART3_TX</t>
  </si>
  <si>
    <t>I2C2_SCL</t>
  </si>
  <si>
    <t>ETH_MII_RX_ER</t>
  </si>
  <si>
    <t>OTG_HS_ULPI_D3</t>
  </si>
  <si>
    <t>QUADSPI_BK1_NCS</t>
  </si>
  <si>
    <t>LCD_G4</t>
  </si>
  <si>
    <t>DFSDM1_DATIN7</t>
  </si>
  <si>
    <t>TIM2_CH3, HRTIM_SCOUT, LPTIM2_IN1, I2C2_SCL, SPI2_SCK/I2S2_CK, DFSDM1_DATIN7, USART3_TX, QUADSPI_BK1_NCS, OTG_HS_ULPI_D3, ETH_MII_RX_ER, LCD_G4, EVENTOUT</t>
  </si>
  <si>
    <t>47</t>
  </si>
  <si>
    <t>PB11</t>
  </si>
  <si>
    <t>TIM2_CH4, HRTIM_SCIN, LPTIM2_ETR</t>
  </si>
  <si>
    <t>USART3_RX</t>
  </si>
  <si>
    <t>I2C2_SDA</t>
  </si>
  <si>
    <t>ETH_MII_TX_EN/ETH_RMII_TX_ EN</t>
  </si>
  <si>
    <t>OTG_HS_ULPI_D4</t>
  </si>
  <si>
    <t>LCD_G5</t>
  </si>
  <si>
    <t>DFSDM1_CKIN7</t>
  </si>
  <si>
    <t>TIM2_CH4, HRTIM_SCIN, LPTIM2_ETR, I2C2_SDA, DFSDM1_CKIN7, USART3_RX, OTG_HS_ULPI_D4, ETH_MII_TX_EN/ETH_RMII_TX_ EN, LCD_G5, EVENTOUT</t>
  </si>
  <si>
    <t>48</t>
  </si>
  <si>
    <t>VCAP</t>
  </si>
  <si>
    <t>49</t>
  </si>
  <si>
    <t>50</t>
  </si>
  <si>
    <t>51</t>
  </si>
  <si>
    <t>PB12(6)</t>
  </si>
  <si>
    <t>FT_u</t>
  </si>
  <si>
    <t>TIM1_BKIN, TIM1_BKIN_COMP12</t>
  </si>
  <si>
    <t>SPI2_NSS/I2S2_WS</t>
  </si>
  <si>
    <t>USART3_CK, UART5_RX</t>
  </si>
  <si>
    <t>I2C2_SMBA</t>
  </si>
  <si>
    <t>FDCAN2_RX</t>
  </si>
  <si>
    <t>ETH_MII_TXD0/ETH_RMII_TXD0</t>
  </si>
  <si>
    <t>OTG_HS_ULPI_D5, OTG_HS_ID</t>
  </si>
  <si>
    <t>TIM1_BKIN, I2C2_SMBA, SPI2_NSS/I2S2_WS, DFSDM1_DATIN1, USART3_CK, FDCAN2_RX, OTG_HS_ULPI_D5, ETH_MII_TXD0/ETH_RMII_TXD0, OTG_HS_ID, TIM1_BKIN_COMP12, UART5_RX, EVENTOUT</t>
  </si>
  <si>
    <t>52</t>
  </si>
  <si>
    <t>PB13(6)</t>
  </si>
  <si>
    <t>TIM1_CH1N, LPTIM2_OUT</t>
  </si>
  <si>
    <t>USART3_CTS/USART3_NSS, UART5_TX</t>
  </si>
  <si>
    <t>FDCAN2_TX</t>
  </si>
  <si>
    <t>ETH_MII_TXD1/ETH_RMII_TXD1</t>
  </si>
  <si>
    <t>OTG_HS_ULPI_D6</t>
  </si>
  <si>
    <t>OTG_HS_VBUS</t>
  </si>
  <si>
    <t>TIM1_CH1N, LPTIM2_OUT, SPI2_SCK/I2S2_CK, DFSDM1_CKIN1, USART3_CTS/USART3_NSS, FDCAN2_TX, OTG_HS_ULPI_D6, ETH_MII_TXD1/ETH_RMII_TXD1, UART5_TX, EVENTOUT</t>
  </si>
  <si>
    <t>53</t>
  </si>
  <si>
    <t>PB14</t>
  </si>
  <si>
    <t>TIM1_CH2N, TIM12_CH1, TIM8_CH2N</t>
  </si>
  <si>
    <t>SPI2_MISO/I2S2_SDI</t>
  </si>
  <si>
    <t>USART1_TX, USART3_RTS/USART3_DE, UART4_RTS/UART4_DE</t>
  </si>
  <si>
    <t>OTG_HS_DM</t>
  </si>
  <si>
    <t>SDMMC2_D0</t>
  </si>
  <si>
    <t>TIM1_CH2N, TIM12_CH1, TIM8_CH2N, USART1_TX, SPI2_MISO/I2S2_SDI, DFSDM1_DATIN2, USART3_RTS/USART3_DE, UART4_RTS/UART4_DE, SDMMC2_D0, OTG_HS_DM, EVENTOUT</t>
  </si>
  <si>
    <t>54</t>
  </si>
  <si>
    <t>PB15</t>
  </si>
  <si>
    <t>RTC_REFIN</t>
  </si>
  <si>
    <t>TIM1_CH3N, TIM12_CH2, TIM8_CH3N</t>
  </si>
  <si>
    <t>USART1_RX, UART4_CTS</t>
  </si>
  <si>
    <t>OTG_HS_DP</t>
  </si>
  <si>
    <t>SDMMC2_D1</t>
  </si>
  <si>
    <t>DFSDM1_CKIN2</t>
  </si>
  <si>
    <t>RTC_REFIN, TIM1_CH3N, TIM12_CH2, TIM8_CH3N, USART1_RX, SPI2_MOSI/I2S2_SDO, DFSDM1_CKIN2, UART4_CTS, SDMMC2_D1, OTG_HS_DP, EVENTOUT</t>
  </si>
  <si>
    <t>55</t>
  </si>
  <si>
    <t>PD8</t>
  </si>
  <si>
    <t>SAI3_SCK_B</t>
  </si>
  <si>
    <t>FMC_D13/FMC_DA13</t>
  </si>
  <si>
    <t>DFSDM1_CKIN3, SPDIFRX1_IN2</t>
  </si>
  <si>
    <t>DFSDM1_CKIN3, SAI3_SCK_B, USART3_TX, SPDIFRX1_IN2, FMC_D13/FMC_DA13, EVENTOUT</t>
  </si>
  <si>
    <t>56</t>
  </si>
  <si>
    <t>PD9</t>
  </si>
  <si>
    <t>SAI3_SD_B</t>
  </si>
  <si>
    <t>FMC_D14/FMC_DA14</t>
  </si>
  <si>
    <t>DFSDM1_DATIN3, SAI3_SD_B, USART3_RX, FMC_D14/FMC_DA14, EVENTOUT</t>
  </si>
  <si>
    <t>57</t>
  </si>
  <si>
    <t>PD10</t>
  </si>
  <si>
    <t>FT_h S -</t>
  </si>
  <si>
    <t>USART3_CK</t>
  </si>
  <si>
    <t>SAI3_FS_B</t>
  </si>
  <si>
    <t>FMC_D15/FMC_DA15</t>
  </si>
  <si>
    <t>LCD_B3</t>
  </si>
  <si>
    <t>DFSDM1_CKOUT, SAI3_FS_B, USART3_CK, FMC_D15/FMC_DA15, LCD_B3, EVENTOUT</t>
  </si>
  <si>
    <t>58</t>
  </si>
  <si>
    <t>PD11</t>
  </si>
  <si>
    <t>LPTIM2_IN2</t>
  </si>
  <si>
    <t>USART3_CTS/USART3_NSS</t>
  </si>
  <si>
    <t>I2C4_SMBA</t>
  </si>
  <si>
    <t>SAI2_SD_A</t>
  </si>
  <si>
    <t>QUADSPI_BK1_IO0, FMC_A16</t>
  </si>
  <si>
    <t>LPTIM2_IN2, I2C4_SMBA, USART3_CTS/USART3_NSS, QUADSPI_BK1_IO0, SAI2_SD_A, FMC_A16, EVENTOUT</t>
  </si>
  <si>
    <t>59</t>
  </si>
  <si>
    <t>PD12</t>
  </si>
  <si>
    <t>FT_fh</t>
  </si>
  <si>
    <t>LPTIM1_IN1, TIM4_CH1, LPTIM2_IN1</t>
  </si>
  <si>
    <t>USART3_RTS/USART3_DE</t>
  </si>
  <si>
    <t>I2C4_SCL</t>
  </si>
  <si>
    <t>SAI2_FS_A</t>
  </si>
  <si>
    <t>QUADSPI_BK1_IO1, FMC_A17</t>
  </si>
  <si>
    <t>LPTIM1_IN1, TIM4_CH1, LPTIM2_IN1, I2C4_SCL, USART3_RTS/USART3_DE, QUADSPI_BK1_IO1, SAI2_FS_A, FMC_A17, EVENTOUT</t>
  </si>
  <si>
    <t>60</t>
  </si>
  <si>
    <t>PD13</t>
  </si>
  <si>
    <t>LPTIM1_OUT, TIM4_CH2</t>
  </si>
  <si>
    <t>I2C4_SDA</t>
  </si>
  <si>
    <t>SAI2_SCK_A</t>
  </si>
  <si>
    <t>QUADSPI_BK1_IO3, FMC_A18</t>
  </si>
  <si>
    <t>LPTIM1_OUT, TIM4_CH2, I2C4_SDA, QUADSPI_BK1_IO3, SAI2_SCK_A, FMC_A18, EVENTOUT</t>
  </si>
  <si>
    <t>61</t>
  </si>
  <si>
    <t>PD14</t>
  </si>
  <si>
    <t>TIM4_CH3</t>
  </si>
  <si>
    <t>UART8_CTS</t>
  </si>
  <si>
    <t>SAI3_MCLK_B</t>
  </si>
  <si>
    <t>FMC_D0/FMC_DA0</t>
  </si>
  <si>
    <t>TIM4_CH3, SAI3_MCLK_B, UART8_CTS, FMC_D0/FMC_DA0, EVENTOUT</t>
  </si>
  <si>
    <t>62</t>
  </si>
  <si>
    <t>PD15</t>
  </si>
  <si>
    <t>TIM4_CH4</t>
  </si>
  <si>
    <t>UART8_RTS/UART8_DE</t>
  </si>
  <si>
    <t>SAI3_MCLK_A</t>
  </si>
  <si>
    <t>FMC_D1/FMC_DA1</t>
  </si>
  <si>
    <t>TIM4_CH4, SAI3_MCLK_A, UART8_RTS/UART8_DE, FMC_D1/FMC_DA1, EVENTOUT</t>
  </si>
  <si>
    <t>63</t>
  </si>
  <si>
    <t>PC6</t>
  </si>
  <si>
    <t>HRTIM_CHA1, TIM3_CH1, TIM8_CH1</t>
  </si>
  <si>
    <t>I2S2_MCK</t>
  </si>
  <si>
    <t>USART6_TX</t>
  </si>
  <si>
    <t>SDMMC1_D0DIR, FMC_NWAIT, SDMMC2_D6, SDMMC1_D6</t>
  </si>
  <si>
    <t>DCMI_D0</t>
  </si>
  <si>
    <t>LCD_HSYNC</t>
  </si>
  <si>
    <t>SWPMI_IO</t>
  </si>
  <si>
    <t>HRTIM_CHA1, TIM3_CH1, TIM8_CH1, DFSDM1_CKIN3, I2S2_MCK, USART6_TX, SDMMC1_D0DIR, FMC_NWAIT, SDMMC2_D6, SDMMC1_D6, DCMI_D0, LCD_HSYNC, EVENTOUT</t>
  </si>
  <si>
    <t>64</t>
  </si>
  <si>
    <t>PC7</t>
  </si>
  <si>
    <t>TRGIO</t>
  </si>
  <si>
    <t>HRTIM_CHA2, TIM3_CH2, TIM8_CH2</t>
  </si>
  <si>
    <t>I2S3_MCK</t>
  </si>
  <si>
    <t>USART6_RX</t>
  </si>
  <si>
    <t>SDMMC1_D123DIR, FMC_NE1, SDMMC2_D7, SDMMC1_D7</t>
  </si>
  <si>
    <t>DCMI_D1</t>
  </si>
  <si>
    <t>LCD_G6</t>
  </si>
  <si>
    <t>DFSDM1_DATIN3, SWPMI_TX</t>
  </si>
  <si>
    <t>TRGIO, HRTIM_CHA2, TIM3_CH2, TIM8_CH2, DFSDM1_DATIN3, I2S3_MCK, USART6_RX, SDMMC1_D123DIR, FMC_NE1, SDMMC2_D7, SWPMI_TX, SDMMC1_D7, DCMI_D1, LCD_G6, EVENTOUT</t>
  </si>
  <si>
    <t>65</t>
  </si>
  <si>
    <t>PC8</t>
  </si>
  <si>
    <t>HRTIM_CHB1, TIM3_CH3, TIM8_CH3</t>
  </si>
  <si>
    <t>USART6_CK, UART5_RTS/UART5_DE</t>
  </si>
  <si>
    <t>FMC_NE2/FMC_NCE, SDMMC1_D0</t>
  </si>
  <si>
    <t>DCMI_D2</t>
  </si>
  <si>
    <t>SWPMI_RX</t>
  </si>
  <si>
    <t>TRACED1, HRTIM_CHB1, TIM3_CH3, TIM8_CH3, USART6_CK, UART5_RTS/UART5_DE, FMC_NE2/FMC_NCE, SWPMI_RX, SDMMC1_D0, DCMI_D2, EVENTOUT</t>
  </si>
  <si>
    <t>66</t>
  </si>
  <si>
    <t>PC9</t>
  </si>
  <si>
    <t>MCO2</t>
  </si>
  <si>
    <t>TIM3_CH4, TIM8_CH4</t>
  </si>
  <si>
    <t>I2S_CKIN</t>
  </si>
  <si>
    <t>UART5_CTS</t>
  </si>
  <si>
    <t>I2C3_SDA</t>
  </si>
  <si>
    <t>QUADSPI_BK1_IO0, SDMMC1_D1</t>
  </si>
  <si>
    <t>DCMI_D3</t>
  </si>
  <si>
    <t>LCD_G3, LCD_B2</t>
  </si>
  <si>
    <t>SWPMI_SUSPEND</t>
  </si>
  <si>
    <t>MCO2, TIM3_CH4, TIM8_CH4, I2C3_SDA, I2S_CKIN, UART5_CTS, QUADSPI_BK1_IO0, LCD_G3, SWPMI_SUSPEND, SDMMC1_D1, DCMI_D3, LCD_B2, EVENTOUT</t>
  </si>
  <si>
    <t>67</t>
  </si>
  <si>
    <t>PA8</t>
  </si>
  <si>
    <t>FT_fha</t>
  </si>
  <si>
    <t>MCO1</t>
  </si>
  <si>
    <t>TIM1_CH1, HRTIM_CHB2, TIM8_BKIN2, TIM8_BKIN2_COMP12</t>
  </si>
  <si>
    <t>USART1_CK, UART7_RX</t>
  </si>
  <si>
    <t>I2C3_SCL</t>
  </si>
  <si>
    <t>OTG_FS_SOF</t>
  </si>
  <si>
    <t>LCD_B3, LCD_R6</t>
  </si>
  <si>
    <t>MCO1, TIM1_CH1, HRTIM_CHB2, TIM8_BKIN2, I2C3_SCL, USART1_CK, OTG_FS_SOF, UART7_RX, TIM8_BKIN2_COMP12, LCD_B3, LCD_R6, EVENTOUT</t>
  </si>
  <si>
    <t>68</t>
  </si>
  <si>
    <t>PA9</t>
  </si>
  <si>
    <t>TIM1_CH2, HRTIM_CHC1</t>
  </si>
  <si>
    <t>LPUART1_TX, USART1_TX</t>
  </si>
  <si>
    <t>I2C3_SMBA</t>
  </si>
  <si>
    <t>OTG_FS_VBUS</t>
  </si>
  <si>
    <t>TIM1_CH2, HRTIM_CHC1, LPUART1_TX, I2C3_SMBA, SPI2_SCK/I2S2_CK, USART1_TX, ETH_TX_ER, DCMI_D0, LCD_R5, EVENTOUT</t>
  </si>
  <si>
    <t>69</t>
  </si>
  <si>
    <t>PA10</t>
  </si>
  <si>
    <t>TIM1_CH3, HRTIM_CHC2</t>
  </si>
  <si>
    <t>LPUART1_RX, USART1_RX</t>
  </si>
  <si>
    <t>OTG_FS_ID</t>
  </si>
  <si>
    <t>LCD_B4, LCD_B1</t>
  </si>
  <si>
    <t>TIM1_CH3, HRTIM_CHC2, LPUART1_RX, USART1_RX, OTG_FS_ID, MDIOS_MDIO, LCD_B4, DCMI_D1, LCD_B1, EVENTOUT</t>
  </si>
  <si>
    <t>70</t>
  </si>
  <si>
    <t>PA11</t>
  </si>
  <si>
    <t>TIM1_CH4, HRTIM_CHD1</t>
  </si>
  <si>
    <t>LPUART1_CTS, UART4_RX, USART1_CTS/USART1_NSS</t>
  </si>
  <si>
    <t>FDCAN1_RX</t>
  </si>
  <si>
    <t>OTG_FS_DM</t>
  </si>
  <si>
    <t>TIM1_CH4, HRTIM_CHD1, LPUART1_CTS, SPI2_NSS/I2S2_WS, UART4_RX, USART1_CTS/USART1_NSS, FDCAN1_RX, OTG_FS_DM, LCD_R4, EVENTOUT</t>
  </si>
  <si>
    <t>71</t>
  </si>
  <si>
    <t>PA12</t>
  </si>
  <si>
    <t>TIM1_ETR, HRTIM_CHD2</t>
  </si>
  <si>
    <t>LPUART1_RTS/LPUART1_DE, UART4_TX, USART1_RTS/USART1_DE</t>
  </si>
  <si>
    <t>FDCAN1_TX</t>
  </si>
  <si>
    <t>OTG_FS_DP</t>
  </si>
  <si>
    <t>TIM1_ETR, HRTIM_CHD2, LPUART1_RTS/LPUART1_DE, SPI2_SCK/I2S2_CK, UART4_TX, USART1_RTS/USART1_DE, SAI2_FS_B, FDCAN1_TX, OTG_FS_DP, LCD_R5, EVENTOUT</t>
  </si>
  <si>
    <t>72</t>
  </si>
  <si>
    <t>PA13</t>
  </si>
  <si>
    <t>JTMS-SWDIO</t>
  </si>
  <si>
    <t>JTMS-SWDIO, EVENTOUT </t>
  </si>
  <si>
    <t>73</t>
  </si>
  <si>
    <t>74</t>
  </si>
  <si>
    <t>75</t>
  </si>
  <si>
    <t>76</t>
  </si>
  <si>
    <t>PA14</t>
  </si>
  <si>
    <t>JTCK-SWCLK</t>
  </si>
  <si>
    <t>JTCK-SWCLK, EVENTOUT </t>
  </si>
  <si>
    <t>77</t>
  </si>
  <si>
    <t>PA15</t>
  </si>
  <si>
    <t>JTDI</t>
  </si>
  <si>
    <t>TIM2_CH1/TIM2_ETR, HRTIM_FLT1</t>
  </si>
  <si>
    <t>UART4_RTS/UART4_DE, UART7_TX</t>
  </si>
  <si>
    <t>CEC</t>
  </si>
  <si>
    <t>JTDI, TIM2_CH1/TIM2_ETR, HRTIM_FLT1, CEC, SPI1_NSS/I2S1_WS, SPI3_NSS/I2S3_WS, SPI6_NSS, UART4_RTS/UART4_DE, UART7_TX, EVENTOUT</t>
  </si>
  <si>
    <t>78</t>
  </si>
  <si>
    <t>PC10</t>
  </si>
  <si>
    <t>HRTIM_EEV1</t>
  </si>
  <si>
    <t>SPI3_SCK/I2S3_CK</t>
  </si>
  <si>
    <t>USART3_TX, UART4_TX</t>
  </si>
  <si>
    <t>QUADSPI_BK1_IO1, SDMMC1_D2</t>
  </si>
  <si>
    <t>DCMI_D8</t>
  </si>
  <si>
    <t>DFSDM1_CKIN5</t>
  </si>
  <si>
    <t>HRTIM_EEV1, DFSDM1_CKIN5, SPI3_SCK/I2S3_CK, USART3_TX, UART4_TX, QUADSPI_BK1_IO1, SDMMC1_D2, DCMI_D8, LCD_R2, EVENTOUT</t>
  </si>
  <si>
    <t>79</t>
  </si>
  <si>
    <t>PC11</t>
  </si>
  <si>
    <t>HRTIM_FLT2</t>
  </si>
  <si>
    <t>SPI3_MISO/I2S3_SDI</t>
  </si>
  <si>
    <t>USART3_RX, UART4_RX</t>
  </si>
  <si>
    <t>QUADSPI_BK2_NCS, SDMMC1_D3</t>
  </si>
  <si>
    <t>DFSDM1_DATIN5</t>
  </si>
  <si>
    <t>HRTIM_FLT2, DFSDM1_DATIN5, SPI3_MISO/I2S3_SDI, USART3_RX, UART4_RX, QUADSPI_BK2_NCS, SDMMC1_D3, DCMI_D4, EVENTOUT</t>
  </si>
  <si>
    <t>80</t>
  </si>
  <si>
    <t>PC12</t>
  </si>
  <si>
    <t>HRTIM_EEV2</t>
  </si>
  <si>
    <t>USART3_CK, UART5_TX</t>
  </si>
  <si>
    <t>SDMMC1_CK</t>
  </si>
  <si>
    <t>DCMI_D9</t>
  </si>
  <si>
    <t>TRACED3, HRTIM_EEV2, SPI3_MOSI/I2S3_SDO, USART3_CK, UART5_TX, SDMMC1_CK, DCMI_D9, EVENTOUT</t>
  </si>
  <si>
    <t>81</t>
  </si>
  <si>
    <t>PD0</t>
  </si>
  <si>
    <t>UART4_RX</t>
  </si>
  <si>
    <t>SAI3_SCK_A</t>
  </si>
  <si>
    <t>FMC_D2/FMC_DA2</t>
  </si>
  <si>
    <t>DFSDM1_CKIN6</t>
  </si>
  <si>
    <t>DFSDM1_CKIN6, SAI3_SCK_A, UART4_RX, FDCAN1_RX, FMC_D2/FMC_DA2, EVENTOUT</t>
  </si>
  <si>
    <t>82</t>
  </si>
  <si>
    <t>PD1</t>
  </si>
  <si>
    <t>UART4_TX</t>
  </si>
  <si>
    <t>SAI3_SD_A</t>
  </si>
  <si>
    <t>FMC_D3/FMC_DA3</t>
  </si>
  <si>
    <t>DFSDM1_DATIN6</t>
  </si>
  <si>
    <t>DFSDM1_DATIN6, SAI3_SD_A, UART4_TX, FDCAN1_TX, FMC_D3/FMC_DA3, EVENTOUT</t>
  </si>
  <si>
    <t>83</t>
  </si>
  <si>
    <t>PD2</t>
  </si>
  <si>
    <t>TIM3_ETR</t>
  </si>
  <si>
    <t>UART5_RX</t>
  </si>
  <si>
    <t>SDMMC1_CMD</t>
  </si>
  <si>
    <t>DCMI_D11</t>
  </si>
  <si>
    <t>TRACED2, TIM3_ETR, UART5_RX, SDMMC1_CMD, DCMI_D11, EVENTOUT</t>
  </si>
  <si>
    <t>84</t>
  </si>
  <si>
    <t>PD3</t>
  </si>
  <si>
    <t>USART2_CTS/USART2_NSS</t>
  </si>
  <si>
    <t>FMC_CLK</t>
  </si>
  <si>
    <t>DCMI_D5</t>
  </si>
  <si>
    <t>LCD_G7</t>
  </si>
  <si>
    <t>DFSDM1_CKOUT, SPI2_SCK/I2S2_CK, USART2_CTS/USART2_NSS, FMC_CLK, DCMI_D5, LCD_G7, EVENTOUT</t>
  </si>
  <si>
    <t>85</t>
  </si>
  <si>
    <t>PD4</t>
  </si>
  <si>
    <t>HRTIM_FLT3</t>
  </si>
  <si>
    <t>USART2_RTS/USART2_DE</t>
  </si>
  <si>
    <t>SAI3_FS_A</t>
  </si>
  <si>
    <t>FMC_NOE</t>
  </si>
  <si>
    <t>HRTIM_FLT3, SAI3_FS_A, USART2_RTS/USART2_DE, FMC_NOE, EVENTOUT</t>
  </si>
  <si>
    <t>86</t>
  </si>
  <si>
    <t>PD5</t>
  </si>
  <si>
    <t>HRTIM_EEV3</t>
  </si>
  <si>
    <t>FMC_NWE</t>
  </si>
  <si>
    <t>HRTIM_EEV3, USART2_TX, FMC_NWE, EVENTOUT</t>
  </si>
  <si>
    <t>87</t>
  </si>
  <si>
    <t>PD6</t>
  </si>
  <si>
    <t>SAI1_SD_A, SAI4_SD_A, SAI4_D1</t>
  </si>
  <si>
    <t>SDMMC2_CK, FMC_NWAIT</t>
  </si>
  <si>
    <t>DCMI_D10</t>
  </si>
  <si>
    <t>LCD_B2</t>
  </si>
  <si>
    <t>DFSDM1_DATIN1, SPI3_MOSI/I2S3_SDO, SAI1_SD_A, USART2_RX, SAI4_SD_A, SAI4_D1, SDMMC2_CK, FMC_NWAIT, DCMI_D10, LCD_B2, EVENTOUT</t>
  </si>
  <si>
    <t>88</t>
  </si>
  <si>
    <t>PD7</t>
  </si>
  <si>
    <t>SPI1_MOSI/I2S1_SDO</t>
  </si>
  <si>
    <t>SDMMC2_CMD, FMC_NE1</t>
  </si>
  <si>
    <t>DFSDM1_DATIN4, DFSDM1_CKIN1, SPDIFRX1_IN1</t>
  </si>
  <si>
    <t>DFSDM1_DATIN4, SPI1_MOSI/I2S1_SDO, DFSDM1_CKIN1, USART2_CK, SPDIFRX1_IN1, SDMMC2_CMD, FMC_NE1, EVENTOUT</t>
  </si>
  <si>
    <t>89</t>
  </si>
  <si>
    <t>PB3</t>
  </si>
  <si>
    <t>JTDO/TRACESWO</t>
  </si>
  <si>
    <t>TIM2_CH2, HRTIM_FLT4</t>
  </si>
  <si>
    <t>SPI1_SCK/I2S1_CK, SPI3_SCK/I2S3_CK, SPI6_SCK</t>
  </si>
  <si>
    <t>SDMMC2_D2</t>
  </si>
  <si>
    <t>CRS_SYNC</t>
  </si>
  <si>
    <t>JTDO/TRACESWO, TIM2_CH2, HRTIM_FLT4, SPI1_SCK/I2S1_CK, SPI3_SCK/I2S3_CK, SPI6_SCK, SDMMC2_D2, CRS_SYNC, UART7_RX, EVENTOUT</t>
  </si>
  <si>
    <t>90</t>
  </si>
  <si>
    <t>PB4(NJTRST)</t>
  </si>
  <si>
    <t>NJTRST</t>
  </si>
  <si>
    <t>TIM16_BKIN, TIM3_CH1, HRTIM_EEV6</t>
  </si>
  <si>
    <t>SPI1_MISO/I2S1_SDI, SPI3_MISO/I2S3_SDI, SPI2_NSS/I2S2_WS, SPI6_MISO</t>
  </si>
  <si>
    <t>SDMMC2_D3</t>
  </si>
  <si>
    <t>NJTRST, TIM16_BKIN, TIM3_CH1, HRTIM_EEV6, SPI1_MISO/I2S1_SDI, SPI3_MISO/I2S3_SDI, SPI2_NSS/I2S2_WS, SPI6_MISO, SDMMC2_D3, UART7_TX, EVENTOUT</t>
  </si>
  <si>
    <t>91</t>
  </si>
  <si>
    <t>PB5</t>
  </si>
  <si>
    <t>TIM17_BKIN, TIM3_CH2, HRTIM_EEV7</t>
  </si>
  <si>
    <t>SPI1_MOSI/I2S1_SDO, SPI3_MOSI/I2S3_SDO, SPI6_MOSI</t>
  </si>
  <si>
    <t>I2C1_SMBA, I2C4_SMBA</t>
  </si>
  <si>
    <t>ETH_PPS_OUT</t>
  </si>
  <si>
    <t>OTG_HS_ULPI_D7</t>
  </si>
  <si>
    <t>FMC_SDCKE1</t>
  </si>
  <si>
    <t>TIM17_BKIN, TIM3_CH2, HRTIM_EEV7, I2C1_SMBA, SPI1_MOSI/I2S1_SDO, I2C4_SMBA, SPI3_MOSI/I2S3_SDO, SPI6_MOSI, FDCAN2_RX, OTG_HS_ULPI_D7, ETH_PPS_OUT, FMC_SDCKE1, DCMI_D10, UART5_RX, EVENTOUT</t>
  </si>
  <si>
    <t>92</t>
  </si>
  <si>
    <t>PB6</t>
  </si>
  <si>
    <t>TIM16_CH1N, TIM4_CH1, HRTIM_EEV8</t>
  </si>
  <si>
    <t>USART1_TX, LPUART1_TX, UART5_TX</t>
  </si>
  <si>
    <t>I2C1_SCL, I2C4_SCL</t>
  </si>
  <si>
    <t>QUADSPI_BK1_NCS, FMC_SDNE1</t>
  </si>
  <si>
    <t>CEC, DFSDM1_DATIN5</t>
  </si>
  <si>
    <t>TIM16_CH1N, TIM4_CH1, HRTIM_EEV8, I2C1_SCL, CEC, I2C4_SCL, USART1_TX, LPUART1_TX, FDCAN2_TX, QUADSPI_BK1_NCS, DFSDM1_DATIN5, FMC_SDNE1, DCMI_D5, UART5_TX, EVENTOUT</t>
  </si>
  <si>
    <t>93</t>
  </si>
  <si>
    <t>PB7</t>
  </si>
  <si>
    <t>FT_fa</t>
  </si>
  <si>
    <t>TIM17_CH1N, TIM4_CH2, HRTIM_EEV9</t>
  </si>
  <si>
    <t>USART1_RX, LPUART1_RX</t>
  </si>
  <si>
    <t>I2C1_SDA, I2C4_SDA</t>
  </si>
  <si>
    <t>FMC_NL</t>
  </si>
  <si>
    <t>DCMI_VSYNC</t>
  </si>
  <si>
    <t>PVD_IN</t>
  </si>
  <si>
    <t>TIM17_CH1N, TIM4_CH2, HRTIM_EEV9, I2C1_SDA, I2C4_SDA, USART1_RX, LPUART1_RX, DFSDM1_CKIN5, FMC_NL, DCMI_VSYNC, EVENTOUT</t>
  </si>
  <si>
    <t>94</t>
  </si>
  <si>
    <t>BOOT0</t>
  </si>
  <si>
    <t>I</t>
  </si>
  <si>
    <t>B</t>
  </si>
  <si>
    <t>VPP</t>
  </si>
  <si>
    <t>95</t>
  </si>
  <si>
    <t>PB8</t>
  </si>
  <si>
    <t>TIM16_CH1, TIM4_CH3</t>
  </si>
  <si>
    <t>SDMMC1_CKIN, SDMMC2_D4, SDMMC1_D4</t>
  </si>
  <si>
    <t>LCD_B6</t>
  </si>
  <si>
    <t>TIM16_CH1, TIM4_CH3, DFSDM1_CKIN7, I2C1_SCL, I2C4_SCL, SDMMC1_CKIN, UART4_RX, FDCAN1_RX, SDMMC2_D4, ETH_MII_TXD3, SDMMC1_D4, DCMI_D6, LCD_B6, EVENTOUT</t>
  </si>
  <si>
    <t>96</t>
  </si>
  <si>
    <t>PB9</t>
  </si>
  <si>
    <t>TIM17_CH1, TIM4_CH4</t>
  </si>
  <si>
    <t>I2C1_SDA, I2C4_SDA, I2C4_SMBA</t>
  </si>
  <si>
    <t>SDMMC1_CDIR, SDMMC2_D5, SDMMC1_D5</t>
  </si>
  <si>
    <t>LCD_B7</t>
  </si>
  <si>
    <t>TIM17_CH1, TIM4_CH4, DFSDM1_DATIN7, I2C1_SDA, SPI2_NSS/I2S2_WS, I2C4_SDA, SDMMC1_CDIR, UART4_TX, FDCAN1_TX, SDMMC2_D5, I2C4_SMBA, SDMMC1_D5, DCMI_D7, LCD_B7, EVENTOUT</t>
  </si>
  <si>
    <t>97</t>
  </si>
  <si>
    <t>PE0</t>
  </si>
  <si>
    <t>LPTIM1_ETR, TIM4_ETR, HRTIM_SCIN, LPTIM2_ETR</t>
  </si>
  <si>
    <t>UART8_RX</t>
  </si>
  <si>
    <t>SAI2_MCLK_A</t>
  </si>
  <si>
    <t>FMC_NBL0</t>
  </si>
  <si>
    <t>LPTIM1_ETR, TIM4_ETR, HRTIM_SCIN, LPTIM2_ETR, UART8_RX, SAI2_MCLK_A, FMC_NBL0, DCMI_D2, EVENTOUT</t>
  </si>
  <si>
    <t>98</t>
  </si>
  <si>
    <t>PE1</t>
  </si>
  <si>
    <t>LPTIM1_IN2, HRTIM_SCOUT</t>
  </si>
  <si>
    <t>UART8_TX</t>
  </si>
  <si>
    <t>FMC_NBL1</t>
  </si>
  <si>
    <t>LPTIM1_IN2, HRTIM_SCOUT, UART8_TX, FMC_NBL1, DCMI_D3, EVENTOUT</t>
  </si>
  <si>
    <t>99</t>
  </si>
  <si>
    <t>100</t>
  </si>
  <si>
    <t>TIMx_CHy</t>
  </si>
  <si>
    <t>TIMx_CHyN</t>
  </si>
  <si>
    <t>TIMx_ETR</t>
  </si>
  <si>
    <t>TIMx_BKINy</t>
  </si>
  <si>
    <t>TIMx_BKINy_COMP12</t>
  </si>
  <si>
    <t>LPTIMx_INy</t>
  </si>
  <si>
    <t>LPTIMx_OUT</t>
  </si>
  <si>
    <t>LPTIMx_ETR</t>
  </si>
  <si>
    <t>HRTIM_CHzx</t>
  </si>
  <si>
    <t>HRTIM_EEVx</t>
  </si>
  <si>
    <t>HRTIM_FLTx</t>
  </si>
  <si>
    <t>HRTIM sync</t>
  </si>
  <si>
    <t>TIM15_CH2</t>
  </si>
  <si>
    <t>TIM1_BKIN2</t>
  </si>
  <si>
    <t>TIM1_BKIN2_COMP12</t>
  </si>
  <si>
    <t>TIM2_CH1, TIM5_CH1</t>
  </si>
  <si>
    <t>TIM2_ETR, TIM8_ETR</t>
  </si>
  <si>
    <t>TIM2_CH2, TIM5_CH2</t>
  </si>
  <si>
    <t>LPTIM3_OUT</t>
  </si>
  <si>
    <t>TIM2_CH3, TIM5_CH3, TIM15_CH1</t>
  </si>
  <si>
    <t>LPTIM4_OUT</t>
  </si>
  <si>
    <t>TIM2_CH4, TIM5_CH4, TIM15_CH2</t>
  </si>
  <si>
    <t>LPTIM5_OUT</t>
  </si>
  <si>
    <t>TIM2_CH1</t>
  </si>
  <si>
    <t>TIM8_CH1N</t>
  </si>
  <si>
    <t>TIM2_ETR</t>
  </si>
  <si>
    <t>TIM3_CH1, TIM13_CH1</t>
  </si>
  <si>
    <t>TIM1_BKIN, TIM8_BKIN</t>
  </si>
  <si>
    <t>TIM1_BKIN_COMP12, TIM8_BKIN_COMP12</t>
  </si>
  <si>
    <t>TIM3_CH2, TIM14_CH1</t>
  </si>
  <si>
    <t>TIM1_CH1N, TIM8_CH1N</t>
  </si>
  <si>
    <t>TIM3_CH3</t>
  </si>
  <si>
    <t>TIM1_CH2N, TIM8_CH2N</t>
  </si>
  <si>
    <t>TIM3_CH4</t>
  </si>
  <si>
    <t>TIM1_CH3N, TIM8_CH3N</t>
  </si>
  <si>
    <t>TIM1_BKIN</t>
  </si>
  <si>
    <t>TIM1_BKIN_COMP12</t>
  </si>
  <si>
    <t>TIM2_CH3</t>
  </si>
  <si>
    <t>LPTIM2_IN1</t>
  </si>
  <si>
    <t>HRTIM_SCOUT</t>
  </si>
  <si>
    <t>TIM2_CH4</t>
  </si>
  <si>
    <t>LPTIM2_ETR</t>
  </si>
  <si>
    <t>HRTIM_SCIN</t>
  </si>
  <si>
    <t>LPTIM2_OUT</t>
  </si>
  <si>
    <t>TIM12_CH1</t>
  </si>
  <si>
    <t>TIM12_CH2</t>
  </si>
  <si>
    <t>TIM4_CH1</t>
  </si>
  <si>
    <t>LPTIM1_IN1, LPTIM2_IN1</t>
  </si>
  <si>
    <t>TIM4_CH2</t>
  </si>
  <si>
    <t>LPTIM1_OUT</t>
  </si>
  <si>
    <t>TIM3_CH1, TIM8_CH1</t>
  </si>
  <si>
    <t>HRTIM_CHA1</t>
  </si>
  <si>
    <t>TIM3_CH2, TIM8_CH2</t>
  </si>
  <si>
    <t>HRTIM_CHA2</t>
  </si>
  <si>
    <t>TIM3_CH3, TIM8_CH3</t>
  </si>
  <si>
    <t>HRTIM_CHB1</t>
  </si>
  <si>
    <t>TIM8_BKIN2</t>
  </si>
  <si>
    <t>TIM8_BKIN2_COMP</t>
  </si>
  <si>
    <t>HRTIM_CHB2</t>
  </si>
  <si>
    <t>HRTIM_CHC1</t>
  </si>
  <si>
    <t>HRTIM_CHC2</t>
  </si>
  <si>
    <t>HRTIM_CHD1</t>
  </si>
  <si>
    <t>HRTIM_CHD2</t>
  </si>
  <si>
    <t>HRTIM_FLT1</t>
  </si>
  <si>
    <t>TIM2_CH2</t>
  </si>
  <si>
    <t>HRTIM_FLT4</t>
  </si>
  <si>
    <t>TIM3_CH1</t>
  </si>
  <si>
    <t>TIM16_BKIN</t>
  </si>
  <si>
    <t>HRTIM_EEV6</t>
  </si>
  <si>
    <t>TIM3_CH2</t>
  </si>
  <si>
    <t>TIM17_BKIN</t>
  </si>
  <si>
    <t>HRTIM_EEV7</t>
  </si>
  <si>
    <t>TIM16_CH1N</t>
  </si>
  <si>
    <t>HRTIM_EEV8</t>
  </si>
  <si>
    <t>TIM17_CH1N</t>
  </si>
  <si>
    <t>HRTIM_EEV9</t>
  </si>
  <si>
    <t>TIM4_ETR</t>
  </si>
  <si>
    <t>LPTIM1_ETR, LPTIM2_ETR</t>
  </si>
  <si>
    <t>LPTIM1_IN2</t>
  </si>
  <si>
    <t>SPI</t>
  </si>
  <si>
    <t>I2S</t>
  </si>
  <si>
    <t>USART</t>
  </si>
  <si>
    <t>UART</t>
  </si>
  <si>
    <t>LPUART</t>
  </si>
  <si>
    <t>SPI2_MOSI</t>
  </si>
  <si>
    <t>I2S2_SDO</t>
  </si>
  <si>
    <t>USART2_CTS/ USART2_NSS</t>
  </si>
  <si>
    <t>USART2_RTS/ USART2_DE</t>
  </si>
  <si>
    <t>SPI1_NSS, SPI3_NSS, SPI6_NSS</t>
  </si>
  <si>
    <t>I2S1_WS, I2S3_WS</t>
  </si>
  <si>
    <t>SPI1_SCK, SPI6_SCK</t>
  </si>
  <si>
    <t>I2S1_CK</t>
  </si>
  <si>
    <t>SPI1_MISO, SPI6_MISO</t>
  </si>
  <si>
    <t>I2S1_SDI</t>
  </si>
  <si>
    <t>SPI1_MOSI, SPI6_MOSI</t>
  </si>
  <si>
    <t>I2S1_SDO</t>
  </si>
  <si>
    <t>SPI3_MOSI</t>
  </si>
  <si>
    <t>I2S3_SDO</t>
  </si>
  <si>
    <t>SPI2_SCK</t>
  </si>
  <si>
    <t>I2S2_CK</t>
  </si>
  <si>
    <t>SPI2_NSS</t>
  </si>
  <si>
    <t>I2S2_WS</t>
  </si>
  <si>
    <t>UART5_TX</t>
  </si>
  <si>
    <t>SPI2_MISO</t>
  </si>
  <si>
    <t>I2S2_SDI</t>
  </si>
  <si>
    <t>USART1_TX, USART3_RTS/ USART3_DE</t>
  </si>
  <si>
    <t>UART4_RTS/ UART4_DE</t>
  </si>
  <si>
    <t>USART1_RX</t>
  </si>
  <si>
    <t>UART8_RTS/ UART8_DE</t>
  </si>
  <si>
    <t>USART6_CK</t>
  </si>
  <si>
    <t>UART5_RTS/ UART5_DE</t>
  </si>
  <si>
    <t>USART1_CK</t>
  </si>
  <si>
    <t>USART1_TX</t>
  </si>
  <si>
    <t>LPUART1_TX</t>
  </si>
  <si>
    <t>LPUART1_RX</t>
  </si>
  <si>
    <t>USART1_CTS/ USART1_NSS</t>
  </si>
  <si>
    <t>LPUART1_CTS</t>
  </si>
  <si>
    <t>USART1_RTS/ USART1_DE</t>
  </si>
  <si>
    <t>LPUART1_RTS/ LPUART1_DE</t>
  </si>
  <si>
    <t>UART4_RTS/ UART4_DE, UART7_TX</t>
  </si>
  <si>
    <t>SPI3_SCK</t>
  </si>
  <si>
    <t>I2S3_CK</t>
  </si>
  <si>
    <t>SPI3_MISO</t>
  </si>
  <si>
    <t>I2S3_SDI</t>
  </si>
  <si>
    <t>SPI1_MOSI</t>
  </si>
  <si>
    <t>SPI1_SCK, SPI3_SCK, SPI6_SCK</t>
  </si>
  <si>
    <t>I2S1_CK, I2S3_CK</t>
  </si>
  <si>
    <t>SPI1_MISO, SPI3_MISO, SPI2_NSS, SPI6_MISO</t>
  </si>
  <si>
    <t>I2S1_SDI, I2S3_SDI, I2S2_WS</t>
  </si>
  <si>
    <t>SPI1_MOSI, SPI3_MOSI, SPI6_MOSI</t>
  </si>
  <si>
    <t>I2S1_SDO, I2S3_SDO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</si>
</sst>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0"/>
      <color theme="1"/>
      <name val="Kode Mono"/>
    </font>
    <font>
      <b/>
      <sz val="10"/>
      <name val="Kode Mono"/>
    </font>
    <font>
      <sz val="10"/>
      <color theme="1"/>
      <name val="Kode Mono"/>
    </font>
    <font>
      <sz val="10"/>
      <name val="Kode Mono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1" fillId="0" borderId="0" xfId="0" applyFont="1"/>
    <xf numFmtId="0" fontId="5" fillId="0" borderId="0" xfId="0" applyFont="1"/>
    <xf numFmtId="0" fontId="1" fillId="0" borderId="2" xfId="0" applyFont="1" applyBorder="1"/>
    <xf numFmtId="0" fontId="5" fillId="0" borderId="0" xfId="0" applyFont="1" applyAlignment="1">
      <alignment horizontal="center"/>
    </xf>
    <xf numFmtId="0" fontId="3" fillId="0" borderId="0" xfId="0" applyNumberFormat="1" applyFont="1" applyAlignment="1">
      <alignment horizontal="left"/>
    </xf>
    <xf numFmtId="0" fontId="3" fillId="2" borderId="0" xfId="0" applyNumberFormat="1" applyFont="1" applyFill="1" applyAlignment="1">
      <alignment horizontal="left"/>
    </xf>
    <xf numFmtId="0" fontId="3" fillId="2" borderId="0" xfId="0" applyFont="1" applyFill="1"/>
    <xf numFmtId="0" fontId="5" fillId="2" borderId="0" xfId="0" applyFont="1" applyFill="1"/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topLeftCell="A36" workbookViewId="0"/>
  </sheetViews>
  <sheetFormatPr baseColWidth="10" defaultColWidth="8.83203125" defaultRowHeight="15" x14ac:dyDescent="0.2"/>
  <cols>
    <col min="1" max="1" width="8.6640625" customWidth="1"/>
    <col min="2" max="2" width="17.5" customWidth="1"/>
    <col min="3" max="3" width="10.1640625" customWidth="1"/>
    <col min="4" max="4" width="15.83203125" customWidth="1"/>
    <col min="5" max="5" width="27.5" customWidth="1"/>
    <col min="6" max="6" width="92.83203125" customWidth="1"/>
    <col min="7" max="7" width="65.6640625" customWidth="1"/>
    <col min="8" max="8" width="59.6640625" customWidth="1"/>
    <col min="9" max="9" width="33.1640625" customWidth="1"/>
    <col min="10" max="10" width="61" customWidth="1"/>
    <col min="11" max="11" width="12.5" customWidth="1"/>
    <col min="12" max="12" width="39.33203125" customWidth="1"/>
    <col min="13" max="13" width="28.6640625" customWidth="1"/>
    <col min="14" max="14" width="54.1640625" customWidth="1"/>
    <col min="15" max="15" width="15.83203125" customWidth="1"/>
    <col min="16" max="16" width="17.1640625" customWidth="1"/>
    <col min="17" max="17" width="45.5" customWidth="1"/>
    <col min="18" max="18" width="13.1640625" customWidth="1"/>
    <col min="19" max="20" width="51.1640625" customWidth="1"/>
    <col min="21" max="21" width="15.5" customWidth="1"/>
    <col min="22" max="22" width="14.5" customWidth="1"/>
  </cols>
  <sheetData>
    <row r="1" spans="1:2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3"/>
      <c r="V1" s="3"/>
    </row>
    <row r="2" spans="1:22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/>
      <c r="G2" s="3" t="s">
        <v>25</v>
      </c>
      <c r="H2" s="3"/>
      <c r="I2" s="3"/>
      <c r="J2" s="3" t="s">
        <v>26</v>
      </c>
      <c r="K2" s="3"/>
      <c r="L2" s="3" t="s">
        <v>27</v>
      </c>
      <c r="M2" s="3"/>
      <c r="N2" s="3" t="s">
        <v>28</v>
      </c>
      <c r="O2" s="3"/>
      <c r="P2" s="3"/>
      <c r="Q2" s="3"/>
      <c r="R2" s="3" t="s">
        <v>17</v>
      </c>
      <c r="S2" s="3"/>
      <c r="T2" s="3" t="s">
        <v>29</v>
      </c>
      <c r="U2" s="3" t="str">
        <f t="shared" ref="U2:U33" si="0">IF(OR(T2="",T2="-"),IF(_xlfn.TEXTJOIN("",TRUE,E2:R2)="","OK","MISMATCH"),IF((LEN(T2)-LEN(SUBSTITUTE(T2,",",""))+1)=(LEN(_xlfn.TEXTJOIN(",",TRUE,E2:R2))-LEN(SUBSTITUTE(_xlfn.TEXTJOIN(",",TRUE,E2:R2),",",""))+1),"OK","MISMATCH"))</f>
        <v>OK</v>
      </c>
      <c r="V2" s="3" t="str">
        <f t="shared" ref="V2:V33" si="1">IF(T2="-",IF(_xlfn.TEXTJOIN("",TRUE,E2:R2)="","OK","MISMATCH"),IF((LEN(T2)-LEN(SUBSTITUTE(T2,",",""))+1)=(LEN(_xlfn.TEXTJOIN(",",TRUE,E2:R2))-LEN(SUBSTITUTE(_xlfn.TEXTJOIN(",",TRUE,E2:R2),",",""))+1),"OK","MISMATCH"))</f>
        <v>OK</v>
      </c>
    </row>
    <row r="3" spans="1:22" x14ac:dyDescent="0.2">
      <c r="A3" s="3" t="s">
        <v>30</v>
      </c>
      <c r="B3" s="3" t="s">
        <v>31</v>
      </c>
      <c r="C3" s="3" t="s">
        <v>22</v>
      </c>
      <c r="D3" s="3" t="s">
        <v>23</v>
      </c>
      <c r="E3" s="3" t="s">
        <v>32</v>
      </c>
      <c r="F3" s="3" t="s">
        <v>33</v>
      </c>
      <c r="G3" s="3"/>
      <c r="H3" s="3"/>
      <c r="I3" s="3"/>
      <c r="J3" s="3" t="s">
        <v>34</v>
      </c>
      <c r="K3" s="3"/>
      <c r="L3" s="3"/>
      <c r="M3" s="3"/>
      <c r="N3" s="3" t="s">
        <v>35</v>
      </c>
      <c r="O3" s="3"/>
      <c r="P3" s="3"/>
      <c r="Q3" s="3"/>
      <c r="R3" s="3" t="s">
        <v>17</v>
      </c>
      <c r="S3" s="3"/>
      <c r="T3" s="3" t="s">
        <v>36</v>
      </c>
      <c r="U3" s="3" t="str">
        <f t="shared" si="0"/>
        <v>OK</v>
      </c>
      <c r="V3" s="3" t="str">
        <f t="shared" si="1"/>
        <v>OK</v>
      </c>
    </row>
    <row r="4" spans="1:22" x14ac:dyDescent="0.2">
      <c r="A4" s="3" t="s">
        <v>37</v>
      </c>
      <c r="B4" s="3" t="s">
        <v>38</v>
      </c>
      <c r="C4" s="3" t="s">
        <v>22</v>
      </c>
      <c r="D4" s="3" t="s">
        <v>23</v>
      </c>
      <c r="E4" s="3" t="s">
        <v>39</v>
      </c>
      <c r="F4" s="3" t="s">
        <v>40</v>
      </c>
      <c r="G4" s="3" t="s">
        <v>41</v>
      </c>
      <c r="H4" s="3"/>
      <c r="I4" s="3"/>
      <c r="J4" s="3" t="s">
        <v>42</v>
      </c>
      <c r="K4" s="3"/>
      <c r="L4" s="3"/>
      <c r="M4" s="3"/>
      <c r="N4" s="3" t="s">
        <v>43</v>
      </c>
      <c r="O4" s="3" t="s">
        <v>44</v>
      </c>
      <c r="P4" s="3" t="s">
        <v>45</v>
      </c>
      <c r="Q4" s="3" t="s">
        <v>46</v>
      </c>
      <c r="R4" s="3" t="s">
        <v>17</v>
      </c>
      <c r="S4" s="3"/>
      <c r="T4" s="3" t="s">
        <v>47</v>
      </c>
      <c r="U4" s="3" t="str">
        <f t="shared" si="0"/>
        <v>OK</v>
      </c>
      <c r="V4" s="3" t="str">
        <f t="shared" si="1"/>
        <v>OK</v>
      </c>
    </row>
    <row r="5" spans="1:22" x14ac:dyDescent="0.2">
      <c r="A5" s="3" t="s">
        <v>48</v>
      </c>
      <c r="B5" s="3" t="s">
        <v>49</v>
      </c>
      <c r="C5" s="3" t="s">
        <v>22</v>
      </c>
      <c r="D5" s="3" t="s">
        <v>23</v>
      </c>
      <c r="E5" s="3" t="s">
        <v>50</v>
      </c>
      <c r="F5" s="3" t="s">
        <v>51</v>
      </c>
      <c r="G5" s="3" t="s">
        <v>52</v>
      </c>
      <c r="H5" s="3"/>
      <c r="I5" s="3"/>
      <c r="J5" s="3" t="s">
        <v>53</v>
      </c>
      <c r="K5" s="3"/>
      <c r="L5" s="3"/>
      <c r="M5" s="3"/>
      <c r="N5" s="3" t="s">
        <v>54</v>
      </c>
      <c r="O5" s="3" t="s">
        <v>55</v>
      </c>
      <c r="P5" s="3" t="s">
        <v>56</v>
      </c>
      <c r="Q5" s="3" t="s">
        <v>57</v>
      </c>
      <c r="R5" s="3" t="s">
        <v>17</v>
      </c>
      <c r="S5" s="3"/>
      <c r="T5" s="3" t="s">
        <v>58</v>
      </c>
      <c r="U5" s="3" t="str">
        <f t="shared" si="0"/>
        <v>OK</v>
      </c>
      <c r="V5" s="3" t="str">
        <f t="shared" si="1"/>
        <v>OK</v>
      </c>
    </row>
    <row r="6" spans="1:22" x14ac:dyDescent="0.2">
      <c r="A6" s="3" t="s">
        <v>59</v>
      </c>
      <c r="B6" s="3" t="s">
        <v>60</v>
      </c>
      <c r="C6" s="3" t="s">
        <v>22</v>
      </c>
      <c r="D6" s="3" t="s">
        <v>23</v>
      </c>
      <c r="E6" s="3" t="s">
        <v>61</v>
      </c>
      <c r="F6" s="3" t="s">
        <v>62</v>
      </c>
      <c r="G6" s="3" t="s">
        <v>63</v>
      </c>
      <c r="H6" s="3"/>
      <c r="I6" s="3"/>
      <c r="J6" s="3" t="s">
        <v>64</v>
      </c>
      <c r="K6" s="3"/>
      <c r="L6" s="3"/>
      <c r="M6" s="3"/>
      <c r="N6" s="3" t="s">
        <v>65</v>
      </c>
      <c r="O6" s="3" t="s">
        <v>66</v>
      </c>
      <c r="P6" s="3" t="s">
        <v>67</v>
      </c>
      <c r="Q6" s="3"/>
      <c r="R6" s="3" t="s">
        <v>17</v>
      </c>
      <c r="S6" s="3"/>
      <c r="T6" s="3" t="s">
        <v>68</v>
      </c>
      <c r="U6" s="3" t="str">
        <f t="shared" si="0"/>
        <v>OK</v>
      </c>
      <c r="V6" s="3" t="str">
        <f t="shared" si="1"/>
        <v>OK</v>
      </c>
    </row>
    <row r="7" spans="1:22" x14ac:dyDescent="0.2">
      <c r="A7" s="3" t="s">
        <v>69</v>
      </c>
      <c r="B7" s="3" t="s">
        <v>70</v>
      </c>
      <c r="C7" s="3" t="s">
        <v>71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 t="str">
        <f t="shared" si="0"/>
        <v>OK</v>
      </c>
      <c r="V7" s="3" t="str">
        <f t="shared" si="1"/>
        <v>OK</v>
      </c>
    </row>
    <row r="8" spans="1:22" x14ac:dyDescent="0.2">
      <c r="A8" s="3" t="s">
        <v>72</v>
      </c>
      <c r="B8" s="3" t="s">
        <v>73</v>
      </c>
      <c r="C8" s="3" t="s">
        <v>22</v>
      </c>
      <c r="D8" s="3" t="s">
        <v>74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17</v>
      </c>
      <c r="S8" s="3" t="s">
        <v>75</v>
      </c>
      <c r="T8" s="3" t="s">
        <v>17</v>
      </c>
      <c r="U8" s="3" t="str">
        <f t="shared" si="0"/>
        <v>OK</v>
      </c>
      <c r="V8" s="3" t="str">
        <f t="shared" si="1"/>
        <v>OK</v>
      </c>
    </row>
    <row r="9" spans="1:22" x14ac:dyDescent="0.2">
      <c r="A9" s="3" t="s">
        <v>76</v>
      </c>
      <c r="B9" s="3" t="s">
        <v>77</v>
      </c>
      <c r="C9" s="3" t="s">
        <v>22</v>
      </c>
      <c r="D9" s="3" t="s">
        <v>74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 t="s">
        <v>17</v>
      </c>
      <c r="S9" s="3" t="s">
        <v>78</v>
      </c>
      <c r="T9" s="3" t="s">
        <v>17</v>
      </c>
      <c r="U9" s="3" t="str">
        <f t="shared" si="0"/>
        <v>OK</v>
      </c>
      <c r="V9" s="3" t="str">
        <f t="shared" si="1"/>
        <v>OK</v>
      </c>
    </row>
    <row r="10" spans="1:22" x14ac:dyDescent="0.2">
      <c r="A10" s="3" t="s">
        <v>79</v>
      </c>
      <c r="B10" s="3" t="s">
        <v>80</v>
      </c>
      <c r="C10" s="3" t="s">
        <v>22</v>
      </c>
      <c r="D10" s="3" t="s">
        <v>74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 t="s">
        <v>17</v>
      </c>
      <c r="S10" s="3" t="s">
        <v>81</v>
      </c>
      <c r="T10" s="3" t="s">
        <v>17</v>
      </c>
      <c r="U10" s="3" t="str">
        <f t="shared" si="0"/>
        <v>OK</v>
      </c>
      <c r="V10" s="3" t="str">
        <f t="shared" si="1"/>
        <v>OK</v>
      </c>
    </row>
    <row r="11" spans="1:22" x14ac:dyDescent="0.2">
      <c r="A11" s="3" t="s">
        <v>82</v>
      </c>
      <c r="B11" s="3" t="s">
        <v>83</v>
      </c>
      <c r="C11" s="3" t="s">
        <v>71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 t="str">
        <f t="shared" si="0"/>
        <v>OK</v>
      </c>
      <c r="V11" s="3" t="str">
        <f t="shared" si="1"/>
        <v>OK</v>
      </c>
    </row>
    <row r="12" spans="1:22" x14ac:dyDescent="0.2">
      <c r="A12" s="3" t="s">
        <v>84</v>
      </c>
      <c r="B12" s="3" t="s">
        <v>85</v>
      </c>
      <c r="C12" s="3" t="s">
        <v>71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 t="str">
        <f t="shared" si="0"/>
        <v>OK</v>
      </c>
      <c r="V12" s="3" t="str">
        <f t="shared" si="1"/>
        <v>OK</v>
      </c>
    </row>
    <row r="13" spans="1:22" x14ac:dyDescent="0.2">
      <c r="A13" s="3" t="s">
        <v>86</v>
      </c>
      <c r="B13" s="3" t="s">
        <v>87</v>
      </c>
      <c r="C13" s="3" t="s">
        <v>22</v>
      </c>
      <c r="D13" s="3" t="s">
        <v>74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 t="s">
        <v>17</v>
      </c>
      <c r="S13" s="3" t="s">
        <v>88</v>
      </c>
      <c r="T13" s="3" t="s">
        <v>89</v>
      </c>
      <c r="U13" s="3" t="str">
        <f t="shared" si="0"/>
        <v>OK</v>
      </c>
      <c r="V13" s="3" t="str">
        <f t="shared" si="1"/>
        <v>OK</v>
      </c>
    </row>
    <row r="14" spans="1:22" x14ac:dyDescent="0.2">
      <c r="A14" s="3" t="s">
        <v>90</v>
      </c>
      <c r="B14" s="3" t="s">
        <v>91</v>
      </c>
      <c r="C14" s="3" t="s">
        <v>22</v>
      </c>
      <c r="D14" s="3" t="s">
        <v>74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 t="s">
        <v>17</v>
      </c>
      <c r="S14" s="3" t="s">
        <v>92</v>
      </c>
      <c r="T14" s="3" t="s">
        <v>89</v>
      </c>
      <c r="U14" s="3" t="str">
        <f t="shared" si="0"/>
        <v>OK</v>
      </c>
      <c r="V14" s="3" t="str">
        <f t="shared" si="1"/>
        <v>OK</v>
      </c>
    </row>
    <row r="15" spans="1:22" x14ac:dyDescent="0.2">
      <c r="A15" s="3" t="s">
        <v>93</v>
      </c>
      <c r="B15" s="3" t="s">
        <v>94</v>
      </c>
      <c r="C15" s="3" t="s">
        <v>22</v>
      </c>
      <c r="D15" s="3" t="s">
        <v>95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 t="str">
        <f t="shared" si="0"/>
        <v>OK</v>
      </c>
      <c r="V15" s="3" t="str">
        <f t="shared" si="1"/>
        <v>OK</v>
      </c>
    </row>
    <row r="16" spans="1:22" x14ac:dyDescent="0.2">
      <c r="A16" s="3" t="s">
        <v>96</v>
      </c>
      <c r="B16" s="3" t="s">
        <v>97</v>
      </c>
      <c r="C16" s="3" t="s">
        <v>22</v>
      </c>
      <c r="D16" s="3" t="s">
        <v>98</v>
      </c>
      <c r="E16" s="3"/>
      <c r="F16" s="3"/>
      <c r="G16" s="3"/>
      <c r="H16" s="3"/>
      <c r="I16" s="3"/>
      <c r="J16" s="3" t="s">
        <v>99</v>
      </c>
      <c r="K16" s="3"/>
      <c r="L16" s="3"/>
      <c r="M16" s="3" t="s">
        <v>100</v>
      </c>
      <c r="N16" s="3" t="s">
        <v>101</v>
      </c>
      <c r="O16" s="3"/>
      <c r="P16" s="3" t="s">
        <v>102</v>
      </c>
      <c r="Q16" s="3" t="s">
        <v>103</v>
      </c>
      <c r="R16" s="3" t="s">
        <v>17</v>
      </c>
      <c r="S16" s="3" t="s">
        <v>104</v>
      </c>
      <c r="T16" s="3" t="s">
        <v>105</v>
      </c>
      <c r="U16" s="3" t="str">
        <f t="shared" si="0"/>
        <v>OK</v>
      </c>
      <c r="V16" s="3" t="str">
        <f t="shared" si="1"/>
        <v>OK</v>
      </c>
    </row>
    <row r="17" spans="1:22" x14ac:dyDescent="0.2">
      <c r="A17" s="3" t="s">
        <v>106</v>
      </c>
      <c r="B17" s="3" t="s">
        <v>107</v>
      </c>
      <c r="C17" s="3" t="s">
        <v>22</v>
      </c>
      <c r="D17" s="3" t="s">
        <v>108</v>
      </c>
      <c r="E17" s="3" t="s">
        <v>32</v>
      </c>
      <c r="F17" s="3"/>
      <c r="G17" s="3" t="s">
        <v>109</v>
      </c>
      <c r="H17" s="3"/>
      <c r="I17" s="3"/>
      <c r="J17" s="3" t="s">
        <v>110</v>
      </c>
      <c r="K17" s="3"/>
      <c r="L17" s="3" t="s">
        <v>111</v>
      </c>
      <c r="M17" s="3"/>
      <c r="N17" s="3" t="s">
        <v>112</v>
      </c>
      <c r="O17" s="3"/>
      <c r="P17" s="3"/>
      <c r="Q17" s="3" t="s">
        <v>113</v>
      </c>
      <c r="R17" s="3" t="s">
        <v>17</v>
      </c>
      <c r="S17" s="3" t="s">
        <v>114</v>
      </c>
      <c r="T17" s="3" t="s">
        <v>115</v>
      </c>
      <c r="U17" s="3" t="str">
        <f t="shared" si="0"/>
        <v>OK</v>
      </c>
      <c r="V17" s="3" t="str">
        <f t="shared" si="1"/>
        <v>OK</v>
      </c>
    </row>
    <row r="18" spans="1:22" x14ac:dyDescent="0.2">
      <c r="A18" s="3" t="s">
        <v>116</v>
      </c>
      <c r="B18" s="3" t="s">
        <v>117</v>
      </c>
      <c r="C18" s="3" t="s">
        <v>118</v>
      </c>
      <c r="D18" s="3" t="s">
        <v>119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 t="s">
        <v>120</v>
      </c>
      <c r="T18" s="4"/>
      <c r="U18" s="3" t="str">
        <f t="shared" si="0"/>
        <v>OK</v>
      </c>
      <c r="V18" s="3" t="str">
        <f t="shared" si="1"/>
        <v>OK</v>
      </c>
    </row>
    <row r="19" spans="1:22" x14ac:dyDescent="0.2">
      <c r="A19" s="3" t="s">
        <v>121</v>
      </c>
      <c r="B19" s="3" t="s">
        <v>122</v>
      </c>
      <c r="C19" s="3" t="s">
        <v>118</v>
      </c>
      <c r="D19" s="3" t="s">
        <v>119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 t="s">
        <v>123</v>
      </c>
      <c r="T19" s="4"/>
      <c r="U19" s="3" t="str">
        <f t="shared" si="0"/>
        <v>OK</v>
      </c>
      <c r="V19" s="3" t="str">
        <f t="shared" si="1"/>
        <v>OK</v>
      </c>
    </row>
    <row r="20" spans="1:22" x14ac:dyDescent="0.2">
      <c r="A20" s="3" t="s">
        <v>124</v>
      </c>
      <c r="B20" s="3" t="s">
        <v>125</v>
      </c>
      <c r="C20" s="3" t="s">
        <v>71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5"/>
      <c r="U20" s="3" t="str">
        <f t="shared" si="0"/>
        <v>OK</v>
      </c>
      <c r="V20" s="3" t="str">
        <f t="shared" si="1"/>
        <v>OK</v>
      </c>
    </row>
    <row r="21" spans="1:22" x14ac:dyDescent="0.2">
      <c r="A21" s="3" t="s">
        <v>126</v>
      </c>
      <c r="B21" s="3" t="s">
        <v>127</v>
      </c>
      <c r="C21" s="3" t="s">
        <v>71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5"/>
      <c r="U21" s="3" t="str">
        <f t="shared" si="0"/>
        <v>OK</v>
      </c>
      <c r="V21" s="3" t="str">
        <f t="shared" si="1"/>
        <v>OK</v>
      </c>
    </row>
    <row r="22" spans="1:22" x14ac:dyDescent="0.2">
      <c r="A22" s="3" t="s">
        <v>128</v>
      </c>
      <c r="B22" s="3" t="s">
        <v>129</v>
      </c>
      <c r="C22" s="3" t="s">
        <v>71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tr">
        <f t="shared" si="0"/>
        <v>OK</v>
      </c>
      <c r="V22" s="3" t="str">
        <f t="shared" si="1"/>
        <v>OK</v>
      </c>
    </row>
    <row r="23" spans="1:22" x14ac:dyDescent="0.2">
      <c r="A23" s="3" t="s">
        <v>130</v>
      </c>
      <c r="B23" s="3" t="s">
        <v>131</v>
      </c>
      <c r="C23" s="3" t="s">
        <v>22</v>
      </c>
      <c r="D23" s="3" t="s">
        <v>98</v>
      </c>
      <c r="E23" s="3"/>
      <c r="F23" s="3" t="s">
        <v>132</v>
      </c>
      <c r="G23" s="3"/>
      <c r="H23" s="3" t="s">
        <v>133</v>
      </c>
      <c r="I23" s="3"/>
      <c r="J23" s="3" t="s">
        <v>134</v>
      </c>
      <c r="K23" s="3"/>
      <c r="L23" s="3" t="s">
        <v>135</v>
      </c>
      <c r="M23" s="3"/>
      <c r="N23" s="3" t="s">
        <v>136</v>
      </c>
      <c r="O23" s="3"/>
      <c r="P23" s="3"/>
      <c r="Q23" s="3"/>
      <c r="R23" s="3" t="s">
        <v>17</v>
      </c>
      <c r="S23" s="3" t="s">
        <v>137</v>
      </c>
      <c r="T23" s="3" t="s">
        <v>138</v>
      </c>
      <c r="U23" s="3" t="str">
        <f t="shared" si="0"/>
        <v>OK</v>
      </c>
      <c r="V23" s="3" t="str">
        <f t="shared" si="1"/>
        <v>OK</v>
      </c>
    </row>
    <row r="24" spans="1:22" x14ac:dyDescent="0.2">
      <c r="A24" s="3" t="s">
        <v>139</v>
      </c>
      <c r="B24" s="3" t="s">
        <v>140</v>
      </c>
      <c r="C24" s="3" t="s">
        <v>22</v>
      </c>
      <c r="D24" s="3" t="s">
        <v>108</v>
      </c>
      <c r="E24" s="3"/>
      <c r="F24" s="3" t="s">
        <v>141</v>
      </c>
      <c r="G24" s="3"/>
      <c r="H24" s="3" t="s">
        <v>142</v>
      </c>
      <c r="I24" s="3"/>
      <c r="J24" s="3" t="s">
        <v>143</v>
      </c>
      <c r="K24" s="3"/>
      <c r="L24" s="3" t="s">
        <v>144</v>
      </c>
      <c r="M24" s="3"/>
      <c r="N24" s="3" t="s">
        <v>145</v>
      </c>
      <c r="O24" s="3"/>
      <c r="P24" s="3" t="s">
        <v>146</v>
      </c>
      <c r="Q24" s="3"/>
      <c r="R24" s="3" t="s">
        <v>17</v>
      </c>
      <c r="S24" s="3" t="s">
        <v>147</v>
      </c>
      <c r="T24" s="5" t="s">
        <v>148</v>
      </c>
      <c r="U24" s="3" t="str">
        <f t="shared" si="0"/>
        <v>OK</v>
      </c>
      <c r="V24" s="3" t="str">
        <f t="shared" si="1"/>
        <v>OK</v>
      </c>
    </row>
    <row r="25" spans="1:22" x14ac:dyDescent="0.2">
      <c r="A25" s="3" t="s">
        <v>149</v>
      </c>
      <c r="B25" s="3" t="s">
        <v>150</v>
      </c>
      <c r="C25" s="3" t="s">
        <v>22</v>
      </c>
      <c r="D25" s="3" t="s">
        <v>98</v>
      </c>
      <c r="E25" s="3"/>
      <c r="F25" s="3" t="s">
        <v>151</v>
      </c>
      <c r="G25" s="3"/>
      <c r="H25" s="3" t="s">
        <v>152</v>
      </c>
      <c r="I25" s="3"/>
      <c r="J25" s="3" t="s">
        <v>153</v>
      </c>
      <c r="K25" s="3"/>
      <c r="L25" s="3" t="s">
        <v>154</v>
      </c>
      <c r="M25" s="3"/>
      <c r="N25" s="3"/>
      <c r="O25" s="3"/>
      <c r="P25" s="3" t="s">
        <v>155</v>
      </c>
      <c r="Q25" s="3" t="s">
        <v>156</v>
      </c>
      <c r="R25" s="3" t="s">
        <v>17</v>
      </c>
      <c r="S25" s="3" t="s">
        <v>157</v>
      </c>
      <c r="T25" s="5" t="s">
        <v>158</v>
      </c>
      <c r="U25" s="3" t="str">
        <f t="shared" si="0"/>
        <v>OK</v>
      </c>
      <c r="V25" s="3" t="str">
        <f t="shared" si="1"/>
        <v>OK</v>
      </c>
    </row>
    <row r="26" spans="1:22" x14ac:dyDescent="0.2">
      <c r="A26" s="3" t="s">
        <v>159</v>
      </c>
      <c r="B26" s="3" t="s">
        <v>160</v>
      </c>
      <c r="C26" s="3" t="s">
        <v>22</v>
      </c>
      <c r="D26" s="3" t="s">
        <v>108</v>
      </c>
      <c r="E26" s="3"/>
      <c r="F26" s="3" t="s">
        <v>161</v>
      </c>
      <c r="G26" s="3"/>
      <c r="H26" s="3" t="s">
        <v>162</v>
      </c>
      <c r="I26" s="3"/>
      <c r="J26" s="3"/>
      <c r="K26" s="3"/>
      <c r="L26" s="3" t="s">
        <v>163</v>
      </c>
      <c r="M26" s="3" t="s">
        <v>164</v>
      </c>
      <c r="N26" s="3"/>
      <c r="O26" s="3"/>
      <c r="P26" s="3" t="s">
        <v>165</v>
      </c>
      <c r="Q26" s="3"/>
      <c r="R26" s="3" t="s">
        <v>17</v>
      </c>
      <c r="S26" s="3" t="s">
        <v>166</v>
      </c>
      <c r="T26" s="3" t="s">
        <v>167</v>
      </c>
      <c r="U26" s="3" t="str">
        <f t="shared" si="0"/>
        <v>OK</v>
      </c>
      <c r="V26" s="3" t="str">
        <f t="shared" si="1"/>
        <v>OK</v>
      </c>
    </row>
    <row r="27" spans="1:22" x14ac:dyDescent="0.2">
      <c r="A27" s="3" t="s">
        <v>168</v>
      </c>
      <c r="B27" s="3" t="s">
        <v>83</v>
      </c>
      <c r="C27" s="3" t="s">
        <v>71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 t="str">
        <f t="shared" si="0"/>
        <v>OK</v>
      </c>
      <c r="V27" s="3" t="str">
        <f t="shared" si="1"/>
        <v>OK</v>
      </c>
    </row>
    <row r="28" spans="1:22" x14ac:dyDescent="0.2">
      <c r="A28" s="3" t="s">
        <v>169</v>
      </c>
      <c r="B28" s="3" t="s">
        <v>85</v>
      </c>
      <c r="C28" s="3" t="s">
        <v>71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 t="str">
        <f t="shared" si="0"/>
        <v>OK</v>
      </c>
      <c r="V28" s="3" t="str">
        <f t="shared" si="1"/>
        <v>OK</v>
      </c>
    </row>
    <row r="29" spans="1:22" x14ac:dyDescent="0.2">
      <c r="A29" s="3" t="s">
        <v>170</v>
      </c>
      <c r="B29" s="3" t="s">
        <v>171</v>
      </c>
      <c r="C29" s="3" t="s">
        <v>22</v>
      </c>
      <c r="D29" s="3" t="s">
        <v>119</v>
      </c>
      <c r="E29" s="3" t="s">
        <v>172</v>
      </c>
      <c r="F29" s="3" t="s">
        <v>173</v>
      </c>
      <c r="G29" s="3" t="s">
        <v>174</v>
      </c>
      <c r="H29" s="3" t="s">
        <v>175</v>
      </c>
      <c r="I29" s="3"/>
      <c r="J29" s="3"/>
      <c r="K29" s="3"/>
      <c r="L29" s="3"/>
      <c r="M29" s="3" t="s">
        <v>176</v>
      </c>
      <c r="N29" s="3"/>
      <c r="O29" s="3" t="s">
        <v>177</v>
      </c>
      <c r="P29" s="3" t="s">
        <v>178</v>
      </c>
      <c r="Q29" s="3"/>
      <c r="R29" s="3" t="s">
        <v>17</v>
      </c>
      <c r="S29" s="3" t="s">
        <v>179</v>
      </c>
      <c r="T29" s="3" t="s">
        <v>180</v>
      </c>
      <c r="U29" s="3" t="str">
        <f t="shared" si="0"/>
        <v>OK</v>
      </c>
      <c r="V29" s="3" t="str">
        <f t="shared" si="1"/>
        <v>OK</v>
      </c>
    </row>
    <row r="30" spans="1:22" x14ac:dyDescent="0.2">
      <c r="A30" s="3" t="s">
        <v>181</v>
      </c>
      <c r="B30" s="3" t="s">
        <v>182</v>
      </c>
      <c r="C30" s="3" t="s">
        <v>22</v>
      </c>
      <c r="D30" s="3" t="s">
        <v>183</v>
      </c>
      <c r="E30" s="3" t="s">
        <v>184</v>
      </c>
      <c r="F30" s="3" t="s">
        <v>185</v>
      </c>
      <c r="G30" s="3" t="s">
        <v>186</v>
      </c>
      <c r="H30" s="3"/>
      <c r="I30" s="3"/>
      <c r="J30" s="3"/>
      <c r="K30" s="3"/>
      <c r="L30" s="3"/>
      <c r="M30" s="3" t="s">
        <v>187</v>
      </c>
      <c r="N30" s="3"/>
      <c r="O30" s="3"/>
      <c r="P30" s="3" t="s">
        <v>188</v>
      </c>
      <c r="Q30" s="3"/>
      <c r="R30" s="3" t="s">
        <v>17</v>
      </c>
      <c r="S30" s="3" t="s">
        <v>189</v>
      </c>
      <c r="T30" s="3" t="s">
        <v>190</v>
      </c>
      <c r="U30" s="3" t="str">
        <f t="shared" si="0"/>
        <v>OK</v>
      </c>
      <c r="V30" s="3" t="str">
        <f t="shared" si="1"/>
        <v>OK</v>
      </c>
    </row>
    <row r="31" spans="1:22" x14ac:dyDescent="0.2">
      <c r="A31" s="3" t="s">
        <v>191</v>
      </c>
      <c r="B31" s="3" t="s">
        <v>192</v>
      </c>
      <c r="C31" s="3" t="s">
        <v>22</v>
      </c>
      <c r="D31" s="3" t="s">
        <v>98</v>
      </c>
      <c r="E31" s="3"/>
      <c r="F31" s="3" t="s">
        <v>193</v>
      </c>
      <c r="G31" s="3" t="s">
        <v>194</v>
      </c>
      <c r="H31" s="3"/>
      <c r="I31" s="3"/>
      <c r="J31" s="3"/>
      <c r="K31" s="3"/>
      <c r="L31" s="3"/>
      <c r="M31" s="3"/>
      <c r="N31" s="3"/>
      <c r="O31" s="3" t="s">
        <v>195</v>
      </c>
      <c r="P31" s="3" t="s">
        <v>196</v>
      </c>
      <c r="Q31" s="3" t="s">
        <v>197</v>
      </c>
      <c r="R31" s="3" t="s">
        <v>17</v>
      </c>
      <c r="S31" s="3" t="s">
        <v>198</v>
      </c>
      <c r="T31" s="3" t="s">
        <v>199</v>
      </c>
      <c r="U31" s="3" t="str">
        <f t="shared" si="0"/>
        <v>OK</v>
      </c>
      <c r="V31" s="3" t="str">
        <f t="shared" si="1"/>
        <v>OK</v>
      </c>
    </row>
    <row r="32" spans="1:22" x14ac:dyDescent="0.2">
      <c r="A32" s="3" t="s">
        <v>200</v>
      </c>
      <c r="B32" s="3" t="s">
        <v>201</v>
      </c>
      <c r="C32" s="3" t="s">
        <v>22</v>
      </c>
      <c r="D32" s="3" t="s">
        <v>119</v>
      </c>
      <c r="E32" s="3"/>
      <c r="F32" s="3" t="s">
        <v>202</v>
      </c>
      <c r="G32" s="3" t="s">
        <v>203</v>
      </c>
      <c r="H32" s="3"/>
      <c r="I32" s="3"/>
      <c r="J32" s="3"/>
      <c r="K32" s="3"/>
      <c r="L32" s="3" t="s">
        <v>204</v>
      </c>
      <c r="M32" s="3"/>
      <c r="N32" s="3" t="s">
        <v>101</v>
      </c>
      <c r="O32" s="3"/>
      <c r="P32" s="3"/>
      <c r="Q32" s="3"/>
      <c r="R32" s="3" t="s">
        <v>17</v>
      </c>
      <c r="S32" s="3" t="s">
        <v>205</v>
      </c>
      <c r="T32" s="3" t="s">
        <v>206</v>
      </c>
      <c r="U32" s="3" t="str">
        <f t="shared" si="0"/>
        <v>OK</v>
      </c>
      <c r="V32" s="3" t="str">
        <f t="shared" si="1"/>
        <v>OK</v>
      </c>
    </row>
    <row r="33" spans="1:22" x14ac:dyDescent="0.2">
      <c r="A33" s="3" t="s">
        <v>207</v>
      </c>
      <c r="B33" s="3" t="s">
        <v>208</v>
      </c>
      <c r="C33" s="3" t="s">
        <v>22</v>
      </c>
      <c r="D33" s="3" t="s">
        <v>119</v>
      </c>
      <c r="E33" s="3" t="s">
        <v>209</v>
      </c>
      <c r="F33" s="3"/>
      <c r="G33" s="3" t="s">
        <v>210</v>
      </c>
      <c r="H33" s="3"/>
      <c r="I33" s="3"/>
      <c r="J33" s="3"/>
      <c r="K33" s="3"/>
      <c r="L33" s="3" t="s">
        <v>211</v>
      </c>
      <c r="M33" s="3"/>
      <c r="N33" s="3" t="s">
        <v>212</v>
      </c>
      <c r="O33" s="3"/>
      <c r="P33" s="3"/>
      <c r="Q33" s="3" t="s">
        <v>213</v>
      </c>
      <c r="R33" s="3" t="s">
        <v>17</v>
      </c>
      <c r="S33" s="3" t="s">
        <v>214</v>
      </c>
      <c r="T33" s="3" t="s">
        <v>215</v>
      </c>
      <c r="U33" s="3" t="str">
        <f t="shared" si="0"/>
        <v>OK</v>
      </c>
      <c r="V33" s="3" t="str">
        <f t="shared" si="1"/>
        <v>OK</v>
      </c>
    </row>
    <row r="34" spans="1:22" x14ac:dyDescent="0.2">
      <c r="A34" s="3" t="s">
        <v>216</v>
      </c>
      <c r="B34" s="3" t="s">
        <v>217</v>
      </c>
      <c r="C34" s="3" t="s">
        <v>22</v>
      </c>
      <c r="D34" s="3" t="s">
        <v>119</v>
      </c>
      <c r="E34" s="3" t="s">
        <v>218</v>
      </c>
      <c r="F34" s="3"/>
      <c r="G34" s="3"/>
      <c r="H34" s="3"/>
      <c r="I34" s="3"/>
      <c r="J34" s="3" t="s">
        <v>219</v>
      </c>
      <c r="K34" s="3"/>
      <c r="L34" s="3" t="s">
        <v>220</v>
      </c>
      <c r="M34" s="3"/>
      <c r="N34" s="3" t="s">
        <v>221</v>
      </c>
      <c r="O34" s="3"/>
      <c r="P34" s="3"/>
      <c r="Q34" s="3" t="s">
        <v>222</v>
      </c>
      <c r="R34" s="3" t="s">
        <v>17</v>
      </c>
      <c r="S34" s="3" t="s">
        <v>223</v>
      </c>
      <c r="T34" s="3" t="s">
        <v>224</v>
      </c>
      <c r="U34" s="3" t="str">
        <f t="shared" ref="U34:U65" si="2">IF(OR(T34="",T34="-"),IF(_xlfn.TEXTJOIN("",TRUE,E34:R34)="","OK","MISMATCH"),IF((LEN(T34)-LEN(SUBSTITUTE(T34,",",""))+1)=(LEN(_xlfn.TEXTJOIN(",",TRUE,E34:R34))-LEN(SUBSTITUTE(_xlfn.TEXTJOIN(",",TRUE,E34:R34),",",""))+1),"OK","MISMATCH"))</f>
        <v>OK</v>
      </c>
      <c r="V34" s="3" t="str">
        <f t="shared" ref="V34:V65" si="3">IF(T34="-",IF(_xlfn.TEXTJOIN("",TRUE,E34:R34)="","OK","MISMATCH"),IF((LEN(T34)-LEN(SUBSTITUTE(T34,",",""))+1)=(LEN(_xlfn.TEXTJOIN(",",TRUE,E34:R34))-LEN(SUBSTITUTE(_xlfn.TEXTJOIN(",",TRUE,E34:R34),",",""))+1),"OK","MISMATCH"))</f>
        <v>OK</v>
      </c>
    </row>
    <row r="35" spans="1:22" x14ac:dyDescent="0.2">
      <c r="A35" s="3" t="s">
        <v>225</v>
      </c>
      <c r="B35" s="3" t="s">
        <v>226</v>
      </c>
      <c r="C35" s="3" t="s">
        <v>22</v>
      </c>
      <c r="D35" s="3" t="s">
        <v>98</v>
      </c>
      <c r="E35" s="3"/>
      <c r="F35" s="3" t="s">
        <v>227</v>
      </c>
      <c r="G35" s="3"/>
      <c r="H35" s="3" t="s">
        <v>228</v>
      </c>
      <c r="I35" s="3"/>
      <c r="J35" s="3"/>
      <c r="K35" s="3"/>
      <c r="L35" s="3" t="s">
        <v>229</v>
      </c>
      <c r="M35" s="3" t="s">
        <v>230</v>
      </c>
      <c r="N35" s="3"/>
      <c r="O35" s="3"/>
      <c r="P35" s="3" t="s">
        <v>231</v>
      </c>
      <c r="Q35" s="3" t="s">
        <v>232</v>
      </c>
      <c r="R35" s="3" t="s">
        <v>17</v>
      </c>
      <c r="S35" s="3" t="s">
        <v>233</v>
      </c>
      <c r="T35" s="3" t="s">
        <v>234</v>
      </c>
      <c r="U35" s="3" t="str">
        <f t="shared" si="2"/>
        <v>OK</v>
      </c>
      <c r="V35" s="3" t="str">
        <f t="shared" si="3"/>
        <v>OK</v>
      </c>
    </row>
    <row r="36" spans="1:22" x14ac:dyDescent="0.2">
      <c r="A36" s="3" t="s">
        <v>235</v>
      </c>
      <c r="B36" s="3" t="s">
        <v>236</v>
      </c>
      <c r="C36" s="3" t="s">
        <v>22</v>
      </c>
      <c r="D36" s="3" t="s">
        <v>119</v>
      </c>
      <c r="E36" s="3"/>
      <c r="F36" s="3" t="s">
        <v>237</v>
      </c>
      <c r="G36" s="3"/>
      <c r="H36" s="3"/>
      <c r="I36" s="3"/>
      <c r="J36" s="3"/>
      <c r="K36" s="3"/>
      <c r="L36" s="3" t="s">
        <v>238</v>
      </c>
      <c r="M36" s="3" t="s">
        <v>239</v>
      </c>
      <c r="N36" s="3"/>
      <c r="O36" s="3"/>
      <c r="P36" s="3" t="s">
        <v>240</v>
      </c>
      <c r="Q36" s="3" t="s">
        <v>241</v>
      </c>
      <c r="R36" s="3" t="s">
        <v>17</v>
      </c>
      <c r="S36" s="3" t="s">
        <v>242</v>
      </c>
      <c r="T36" s="3" t="s">
        <v>243</v>
      </c>
      <c r="U36" s="3" t="str">
        <f t="shared" si="2"/>
        <v>OK</v>
      </c>
      <c r="V36" s="3" t="str">
        <f t="shared" si="3"/>
        <v>OK</v>
      </c>
    </row>
    <row r="37" spans="1:22" x14ac:dyDescent="0.2">
      <c r="A37" s="3" t="s">
        <v>244</v>
      </c>
      <c r="B37" s="3" t="s">
        <v>245</v>
      </c>
      <c r="C37" s="3" t="s">
        <v>22</v>
      </c>
      <c r="D37" s="3" t="s">
        <v>108</v>
      </c>
      <c r="E37" s="3" t="s">
        <v>246</v>
      </c>
      <c r="F37" s="3"/>
      <c r="G37" s="3" t="s">
        <v>247</v>
      </c>
      <c r="H37" s="3"/>
      <c r="I37" s="3"/>
      <c r="J37" s="3" t="s">
        <v>110</v>
      </c>
      <c r="K37" s="3"/>
      <c r="L37" s="3" t="s">
        <v>248</v>
      </c>
      <c r="M37" s="3"/>
      <c r="N37" s="3" t="s">
        <v>249</v>
      </c>
      <c r="O37" s="3"/>
      <c r="P37" s="3"/>
      <c r="Q37" s="3" t="s">
        <v>250</v>
      </c>
      <c r="R37" s="3" t="s">
        <v>17</v>
      </c>
      <c r="S37" s="3" t="s">
        <v>251</v>
      </c>
      <c r="T37" s="3" t="s">
        <v>252</v>
      </c>
      <c r="U37" s="3" t="str">
        <f t="shared" si="2"/>
        <v>OK</v>
      </c>
      <c r="V37" s="3" t="str">
        <f t="shared" si="3"/>
        <v>OK</v>
      </c>
    </row>
    <row r="38" spans="1:22" x14ac:dyDescent="0.2">
      <c r="A38" s="3" t="s">
        <v>253</v>
      </c>
      <c r="B38" s="3" t="s">
        <v>254</v>
      </c>
      <c r="C38" s="3" t="s">
        <v>22</v>
      </c>
      <c r="D38" s="3" t="s">
        <v>183</v>
      </c>
      <c r="E38" s="3"/>
      <c r="F38" s="3" t="s">
        <v>255</v>
      </c>
      <c r="G38" s="3"/>
      <c r="H38" s="3" t="s">
        <v>256</v>
      </c>
      <c r="I38" s="3"/>
      <c r="J38" s="3"/>
      <c r="K38" s="3"/>
      <c r="L38" s="3"/>
      <c r="M38" s="3"/>
      <c r="N38" s="3" t="s">
        <v>257</v>
      </c>
      <c r="O38" s="3"/>
      <c r="P38" s="3"/>
      <c r="Q38" s="3" t="s">
        <v>258</v>
      </c>
      <c r="R38" s="3" t="s">
        <v>17</v>
      </c>
      <c r="S38" s="3" t="s">
        <v>259</v>
      </c>
      <c r="T38" s="3" t="s">
        <v>260</v>
      </c>
      <c r="U38" s="3" t="str">
        <f t="shared" si="2"/>
        <v>OK</v>
      </c>
      <c r="V38" s="3" t="str">
        <f t="shared" si="3"/>
        <v>OK</v>
      </c>
    </row>
    <row r="39" spans="1:22" x14ac:dyDescent="0.2">
      <c r="A39" s="3" t="s">
        <v>261</v>
      </c>
      <c r="B39" s="3" t="s">
        <v>262</v>
      </c>
      <c r="C39" s="3" t="s">
        <v>22</v>
      </c>
      <c r="D39" s="3" t="s">
        <v>183</v>
      </c>
      <c r="E39" s="3"/>
      <c r="F39" s="3" t="s">
        <v>263</v>
      </c>
      <c r="G39" s="3"/>
      <c r="H39" s="3" t="s">
        <v>264</v>
      </c>
      <c r="I39" s="3"/>
      <c r="J39" s="3"/>
      <c r="K39" s="3"/>
      <c r="L39" s="3"/>
      <c r="M39" s="3"/>
      <c r="N39" s="3" t="s">
        <v>265</v>
      </c>
      <c r="O39" s="3"/>
      <c r="P39" s="3"/>
      <c r="Q39" s="3" t="s">
        <v>266</v>
      </c>
      <c r="R39" s="3" t="s">
        <v>17</v>
      </c>
      <c r="S39" s="3" t="s">
        <v>267</v>
      </c>
      <c r="T39" s="3" t="s">
        <v>268</v>
      </c>
      <c r="U39" s="3" t="str">
        <f t="shared" si="2"/>
        <v>OK</v>
      </c>
      <c r="V39" s="3" t="str">
        <f t="shared" si="3"/>
        <v>OK</v>
      </c>
    </row>
    <row r="40" spans="1:22" x14ac:dyDescent="0.2">
      <c r="A40" s="3" t="s">
        <v>269</v>
      </c>
      <c r="B40" s="3" t="s">
        <v>270</v>
      </c>
      <c r="C40" s="3" t="s">
        <v>22</v>
      </c>
      <c r="D40" s="3" t="s">
        <v>183</v>
      </c>
      <c r="E40" s="3"/>
      <c r="F40" s="3" t="s">
        <v>271</v>
      </c>
      <c r="G40" s="3"/>
      <c r="H40" s="3" t="s">
        <v>272</v>
      </c>
      <c r="I40" s="3"/>
      <c r="J40" s="3"/>
      <c r="K40" s="3"/>
      <c r="L40" s="3"/>
      <c r="M40" s="3"/>
      <c r="N40" s="3" t="s">
        <v>273</v>
      </c>
      <c r="O40" s="3"/>
      <c r="P40" s="3"/>
      <c r="Q40" s="3" t="s">
        <v>232</v>
      </c>
      <c r="R40" s="3" t="s">
        <v>17</v>
      </c>
      <c r="S40" s="3" t="s">
        <v>274</v>
      </c>
      <c r="T40" s="3" t="s">
        <v>275</v>
      </c>
      <c r="U40" s="3" t="str">
        <f t="shared" si="2"/>
        <v>OK</v>
      </c>
      <c r="V40" s="3" t="str">
        <f t="shared" si="3"/>
        <v>OK</v>
      </c>
    </row>
    <row r="41" spans="1:22" x14ac:dyDescent="0.2">
      <c r="A41" s="3" t="s">
        <v>276</v>
      </c>
      <c r="B41" s="3" t="s">
        <v>277</v>
      </c>
      <c r="C41" s="3" t="s">
        <v>22</v>
      </c>
      <c r="D41" s="3" t="s">
        <v>108</v>
      </c>
      <c r="E41" s="3"/>
      <c r="F41" s="3" t="s">
        <v>278</v>
      </c>
      <c r="G41" s="3"/>
      <c r="H41" s="3" t="s">
        <v>279</v>
      </c>
      <c r="I41" s="3"/>
      <c r="J41" s="3"/>
      <c r="K41" s="3"/>
      <c r="L41" s="3"/>
      <c r="M41" s="3"/>
      <c r="N41" s="3" t="s">
        <v>280</v>
      </c>
      <c r="O41" s="3"/>
      <c r="P41" s="3"/>
      <c r="Q41" s="3" t="s">
        <v>281</v>
      </c>
      <c r="R41" s="3" t="s">
        <v>17</v>
      </c>
      <c r="S41" s="3" t="s">
        <v>282</v>
      </c>
      <c r="T41" s="3" t="s">
        <v>283</v>
      </c>
      <c r="U41" s="3" t="str">
        <f t="shared" si="2"/>
        <v>OK</v>
      </c>
      <c r="V41" s="3" t="str">
        <f t="shared" si="3"/>
        <v>OK</v>
      </c>
    </row>
    <row r="42" spans="1:22" x14ac:dyDescent="0.2">
      <c r="A42" s="3" t="s">
        <v>284</v>
      </c>
      <c r="B42" s="3" t="s">
        <v>285</v>
      </c>
      <c r="C42" s="3" t="s">
        <v>22</v>
      </c>
      <c r="D42" s="3" t="s">
        <v>108</v>
      </c>
      <c r="E42" s="3"/>
      <c r="F42" s="3" t="s">
        <v>286</v>
      </c>
      <c r="G42" s="3" t="s">
        <v>41</v>
      </c>
      <c r="H42" s="3"/>
      <c r="I42" s="3"/>
      <c r="J42" s="3" t="s">
        <v>134</v>
      </c>
      <c r="K42" s="3"/>
      <c r="L42" s="3"/>
      <c r="M42" s="3"/>
      <c r="N42" s="3" t="s">
        <v>287</v>
      </c>
      <c r="O42" s="3"/>
      <c r="P42" s="3" t="s">
        <v>288</v>
      </c>
      <c r="Q42" s="3" t="s">
        <v>289</v>
      </c>
      <c r="R42" s="3" t="s">
        <v>17</v>
      </c>
      <c r="S42" s="3" t="s">
        <v>290</v>
      </c>
      <c r="T42" s="3" t="s">
        <v>291</v>
      </c>
      <c r="U42" s="3" t="str">
        <f t="shared" si="2"/>
        <v>OK</v>
      </c>
      <c r="V42" s="3" t="str">
        <f t="shared" si="3"/>
        <v>OK</v>
      </c>
    </row>
    <row r="43" spans="1:22" x14ac:dyDescent="0.2">
      <c r="A43" s="3" t="s">
        <v>292</v>
      </c>
      <c r="B43" s="3" t="s">
        <v>293</v>
      </c>
      <c r="C43" s="3" t="s">
        <v>22</v>
      </c>
      <c r="D43" s="3" t="s">
        <v>23</v>
      </c>
      <c r="E43" s="3"/>
      <c r="F43" s="3" t="s">
        <v>294</v>
      </c>
      <c r="G43" s="3" t="s">
        <v>25</v>
      </c>
      <c r="H43" s="3"/>
      <c r="I43" s="3"/>
      <c r="J43" s="3" t="s">
        <v>153</v>
      </c>
      <c r="K43" s="3"/>
      <c r="L43" s="3"/>
      <c r="M43" s="3"/>
      <c r="N43" s="3" t="s">
        <v>295</v>
      </c>
      <c r="O43" s="3"/>
      <c r="P43" s="3" t="s">
        <v>296</v>
      </c>
      <c r="Q43" s="3" t="s">
        <v>297</v>
      </c>
      <c r="R43" s="3" t="s">
        <v>17</v>
      </c>
      <c r="S43" s="3"/>
      <c r="T43" s="3" t="s">
        <v>298</v>
      </c>
      <c r="U43" s="3" t="str">
        <f t="shared" si="2"/>
        <v>OK</v>
      </c>
      <c r="V43" s="3" t="str">
        <f t="shared" si="3"/>
        <v>OK</v>
      </c>
    </row>
    <row r="44" spans="1:22" x14ac:dyDescent="0.2">
      <c r="A44" s="3" t="s">
        <v>299</v>
      </c>
      <c r="B44" s="3" t="s">
        <v>300</v>
      </c>
      <c r="C44" s="3" t="s">
        <v>22</v>
      </c>
      <c r="D44" s="3" t="s">
        <v>23</v>
      </c>
      <c r="E44" s="3"/>
      <c r="F44" s="3" t="s">
        <v>301</v>
      </c>
      <c r="G44" s="3" t="s">
        <v>52</v>
      </c>
      <c r="H44" s="3"/>
      <c r="I44" s="3"/>
      <c r="J44" s="3" t="s">
        <v>99</v>
      </c>
      <c r="K44" s="3"/>
      <c r="L44" s="3"/>
      <c r="M44" s="3"/>
      <c r="N44" s="3" t="s">
        <v>302</v>
      </c>
      <c r="O44" s="3"/>
      <c r="P44" s="3" t="s">
        <v>303</v>
      </c>
      <c r="Q44" s="3" t="s">
        <v>304</v>
      </c>
      <c r="R44" s="3" t="s">
        <v>17</v>
      </c>
      <c r="S44" s="3"/>
      <c r="T44" s="3" t="s">
        <v>305</v>
      </c>
      <c r="U44" s="3" t="str">
        <f t="shared" si="2"/>
        <v>OK</v>
      </c>
      <c r="V44" s="3" t="str">
        <f t="shared" si="3"/>
        <v>OK</v>
      </c>
    </row>
    <row r="45" spans="1:22" x14ac:dyDescent="0.2">
      <c r="A45" s="3" t="s">
        <v>306</v>
      </c>
      <c r="B45" s="3" t="s">
        <v>307</v>
      </c>
      <c r="C45" s="3" t="s">
        <v>22</v>
      </c>
      <c r="D45" s="3" t="s">
        <v>23</v>
      </c>
      <c r="E45" s="3"/>
      <c r="F45" s="3" t="s">
        <v>308</v>
      </c>
      <c r="G45" s="3" t="s">
        <v>63</v>
      </c>
      <c r="H45" s="3"/>
      <c r="I45" s="3"/>
      <c r="J45" s="3" t="s">
        <v>143</v>
      </c>
      <c r="K45" s="3"/>
      <c r="L45" s="3"/>
      <c r="M45" s="3"/>
      <c r="N45" s="3" t="s">
        <v>309</v>
      </c>
      <c r="O45" s="3"/>
      <c r="P45" s="3" t="s">
        <v>310</v>
      </c>
      <c r="Q45" s="3"/>
      <c r="R45" s="3" t="s">
        <v>17</v>
      </c>
      <c r="S45" s="3"/>
      <c r="T45" s="3" t="s">
        <v>311</v>
      </c>
      <c r="U45" s="3" t="str">
        <f t="shared" si="2"/>
        <v>OK</v>
      </c>
      <c r="V45" s="3" t="str">
        <f t="shared" si="3"/>
        <v>OK</v>
      </c>
    </row>
    <row r="46" spans="1:22" x14ac:dyDescent="0.2">
      <c r="A46" s="3" t="s">
        <v>312</v>
      </c>
      <c r="B46" s="3" t="s">
        <v>313</v>
      </c>
      <c r="C46" s="3" t="s">
        <v>22</v>
      </c>
      <c r="D46" s="3" t="s">
        <v>23</v>
      </c>
      <c r="E46" s="3"/>
      <c r="F46" s="3" t="s">
        <v>314</v>
      </c>
      <c r="G46" s="3"/>
      <c r="H46" s="3"/>
      <c r="I46" s="3"/>
      <c r="J46" s="3"/>
      <c r="K46" s="3"/>
      <c r="L46" s="3"/>
      <c r="M46" s="3"/>
      <c r="N46" s="3" t="s">
        <v>315</v>
      </c>
      <c r="O46" s="3"/>
      <c r="P46" s="3" t="s">
        <v>316</v>
      </c>
      <c r="Q46" s="3"/>
      <c r="R46" s="3" t="s">
        <v>17</v>
      </c>
      <c r="S46" s="3"/>
      <c r="T46" s="3" t="s">
        <v>317</v>
      </c>
      <c r="U46" s="3" t="str">
        <f t="shared" si="2"/>
        <v>OK</v>
      </c>
      <c r="V46" s="3" t="str">
        <f t="shared" si="3"/>
        <v>OK</v>
      </c>
    </row>
    <row r="47" spans="1:22" x14ac:dyDescent="0.2">
      <c r="A47" s="3" t="s">
        <v>318</v>
      </c>
      <c r="B47" s="3" t="s">
        <v>319</v>
      </c>
      <c r="C47" s="3" t="s">
        <v>22</v>
      </c>
      <c r="D47" s="3" t="s">
        <v>320</v>
      </c>
      <c r="E47" s="3"/>
      <c r="F47" s="3" t="s">
        <v>321</v>
      </c>
      <c r="G47" s="3" t="s">
        <v>322</v>
      </c>
      <c r="H47" s="3" t="s">
        <v>323</v>
      </c>
      <c r="I47" s="3" t="s">
        <v>324</v>
      </c>
      <c r="J47" s="3"/>
      <c r="K47" s="3"/>
      <c r="L47" s="3" t="s">
        <v>325</v>
      </c>
      <c r="M47" s="3" t="s">
        <v>326</v>
      </c>
      <c r="N47" s="3" t="s">
        <v>327</v>
      </c>
      <c r="O47" s="3"/>
      <c r="P47" s="3" t="s">
        <v>328</v>
      </c>
      <c r="Q47" s="3" t="s">
        <v>329</v>
      </c>
      <c r="R47" s="3" t="s">
        <v>17</v>
      </c>
      <c r="S47" s="3"/>
      <c r="T47" s="3" t="s">
        <v>330</v>
      </c>
      <c r="U47" s="3" t="str">
        <f t="shared" si="2"/>
        <v>OK</v>
      </c>
      <c r="V47" s="3" t="str">
        <f t="shared" si="3"/>
        <v>OK</v>
      </c>
    </row>
    <row r="48" spans="1:22" x14ac:dyDescent="0.2">
      <c r="A48" s="3" t="s">
        <v>331</v>
      </c>
      <c r="B48" s="3" t="s">
        <v>332</v>
      </c>
      <c r="C48" s="3" t="s">
        <v>22</v>
      </c>
      <c r="D48" s="3" t="s">
        <v>320</v>
      </c>
      <c r="E48" s="3"/>
      <c r="F48" s="3" t="s">
        <v>333</v>
      </c>
      <c r="G48" s="3"/>
      <c r="H48" s="3" t="s">
        <v>334</v>
      </c>
      <c r="I48" s="3" t="s">
        <v>335</v>
      </c>
      <c r="J48" s="3"/>
      <c r="K48" s="3"/>
      <c r="L48" s="3" t="s">
        <v>336</v>
      </c>
      <c r="M48" s="3" t="s">
        <v>337</v>
      </c>
      <c r="N48" s="3"/>
      <c r="O48" s="3"/>
      <c r="P48" s="3" t="s">
        <v>338</v>
      </c>
      <c r="Q48" s="3" t="s">
        <v>339</v>
      </c>
      <c r="R48" s="3" t="s">
        <v>17</v>
      </c>
      <c r="S48" s="3"/>
      <c r="T48" s="3" t="s">
        <v>340</v>
      </c>
      <c r="U48" s="3" t="str">
        <f t="shared" si="2"/>
        <v>OK</v>
      </c>
      <c r="V48" s="3" t="str">
        <f t="shared" si="3"/>
        <v>OK</v>
      </c>
    </row>
    <row r="49" spans="1:22" x14ac:dyDescent="0.2">
      <c r="A49" s="3" t="s">
        <v>341</v>
      </c>
      <c r="B49" s="3" t="s">
        <v>342</v>
      </c>
      <c r="C49" s="3" t="s">
        <v>71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 t="str">
        <f t="shared" si="2"/>
        <v>OK</v>
      </c>
      <c r="V49" s="3" t="str">
        <f t="shared" si="3"/>
        <v>OK</v>
      </c>
    </row>
    <row r="50" spans="1:22" x14ac:dyDescent="0.2">
      <c r="A50" s="3" t="s">
        <v>343</v>
      </c>
      <c r="B50" s="3" t="s">
        <v>83</v>
      </c>
      <c r="C50" s="3" t="s">
        <v>71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 t="str">
        <f t="shared" si="2"/>
        <v>OK</v>
      </c>
      <c r="V50" s="3" t="str">
        <f t="shared" si="3"/>
        <v>OK</v>
      </c>
    </row>
    <row r="51" spans="1:22" x14ac:dyDescent="0.2">
      <c r="A51" s="3" t="s">
        <v>344</v>
      </c>
      <c r="B51" s="3" t="s">
        <v>85</v>
      </c>
      <c r="C51" s="3" t="s">
        <v>71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 t="str">
        <f t="shared" si="2"/>
        <v>OK</v>
      </c>
      <c r="V51" s="3" t="str">
        <f t="shared" si="3"/>
        <v>OK</v>
      </c>
    </row>
    <row r="52" spans="1:22" x14ac:dyDescent="0.2">
      <c r="A52" s="3" t="s">
        <v>345</v>
      </c>
      <c r="B52" s="3" t="s">
        <v>346</v>
      </c>
      <c r="C52" s="3" t="s">
        <v>22</v>
      </c>
      <c r="D52" s="3" t="s">
        <v>347</v>
      </c>
      <c r="E52" s="3"/>
      <c r="F52" s="3" t="s">
        <v>348</v>
      </c>
      <c r="G52" s="3" t="s">
        <v>349</v>
      </c>
      <c r="H52" s="3" t="s">
        <v>350</v>
      </c>
      <c r="I52" s="3" t="s">
        <v>351</v>
      </c>
      <c r="J52" s="3"/>
      <c r="K52" s="3" t="s">
        <v>352</v>
      </c>
      <c r="L52" s="3" t="s">
        <v>353</v>
      </c>
      <c r="M52" s="3" t="s">
        <v>354</v>
      </c>
      <c r="N52" s="3"/>
      <c r="O52" s="3"/>
      <c r="P52" s="3"/>
      <c r="Q52" s="3" t="s">
        <v>241</v>
      </c>
      <c r="R52" s="3" t="s">
        <v>17</v>
      </c>
      <c r="S52" s="3"/>
      <c r="T52" s="3" t="s">
        <v>355</v>
      </c>
      <c r="U52" s="3" t="str">
        <f t="shared" si="2"/>
        <v>OK</v>
      </c>
      <c r="V52" s="3" t="str">
        <f t="shared" si="3"/>
        <v>OK</v>
      </c>
    </row>
    <row r="53" spans="1:22" x14ac:dyDescent="0.2">
      <c r="A53" s="3" t="s">
        <v>356</v>
      </c>
      <c r="B53" s="3" t="s">
        <v>357</v>
      </c>
      <c r="C53" s="3" t="s">
        <v>22</v>
      </c>
      <c r="D53" s="3" t="s">
        <v>347</v>
      </c>
      <c r="E53" s="3"/>
      <c r="F53" s="3" t="s">
        <v>358</v>
      </c>
      <c r="G53" s="3" t="s">
        <v>322</v>
      </c>
      <c r="H53" s="3" t="s">
        <v>359</v>
      </c>
      <c r="I53" s="3"/>
      <c r="J53" s="3"/>
      <c r="K53" s="3" t="s">
        <v>360</v>
      </c>
      <c r="L53" s="3" t="s">
        <v>361</v>
      </c>
      <c r="M53" s="3" t="s">
        <v>362</v>
      </c>
      <c r="N53" s="3"/>
      <c r="O53" s="3"/>
      <c r="P53" s="3"/>
      <c r="Q53" s="3" t="s">
        <v>250</v>
      </c>
      <c r="R53" s="3" t="s">
        <v>17</v>
      </c>
      <c r="S53" s="3" t="s">
        <v>363</v>
      </c>
      <c r="T53" s="3" t="s">
        <v>364</v>
      </c>
      <c r="U53" s="3" t="str">
        <f t="shared" si="2"/>
        <v>OK</v>
      </c>
      <c r="V53" s="3" t="str">
        <f t="shared" si="3"/>
        <v>OK</v>
      </c>
    </row>
    <row r="54" spans="1:22" x14ac:dyDescent="0.2">
      <c r="A54" s="3" t="s">
        <v>365</v>
      </c>
      <c r="B54" s="3" t="s">
        <v>366</v>
      </c>
      <c r="C54" s="3" t="s">
        <v>22</v>
      </c>
      <c r="D54" s="3" t="s">
        <v>347</v>
      </c>
      <c r="E54" s="3"/>
      <c r="F54" s="3" t="s">
        <v>367</v>
      </c>
      <c r="G54" s="3" t="s">
        <v>368</v>
      </c>
      <c r="H54" s="3" t="s">
        <v>369</v>
      </c>
      <c r="I54" s="3"/>
      <c r="J54" s="3"/>
      <c r="K54" s="3"/>
      <c r="L54" s="3"/>
      <c r="M54" s="3" t="s">
        <v>370</v>
      </c>
      <c r="N54" s="3" t="s">
        <v>371</v>
      </c>
      <c r="O54" s="3"/>
      <c r="P54" s="3"/>
      <c r="Q54" s="3" t="s">
        <v>258</v>
      </c>
      <c r="R54" s="3" t="s">
        <v>17</v>
      </c>
      <c r="S54" s="3"/>
      <c r="T54" s="3" t="s">
        <v>372</v>
      </c>
      <c r="U54" s="3" t="str">
        <f t="shared" si="2"/>
        <v>OK</v>
      </c>
      <c r="V54" s="3" t="str">
        <f t="shared" si="3"/>
        <v>OK</v>
      </c>
    </row>
    <row r="55" spans="1:22" x14ac:dyDescent="0.2">
      <c r="A55" s="3" t="s">
        <v>373</v>
      </c>
      <c r="B55" s="3" t="s">
        <v>374</v>
      </c>
      <c r="C55" s="3" t="s">
        <v>22</v>
      </c>
      <c r="D55" s="3" t="s">
        <v>347</v>
      </c>
      <c r="E55" s="3" t="s">
        <v>375</v>
      </c>
      <c r="F55" s="3" t="s">
        <v>376</v>
      </c>
      <c r="G55" s="3" t="s">
        <v>109</v>
      </c>
      <c r="H55" s="3" t="s">
        <v>377</v>
      </c>
      <c r="I55" s="3"/>
      <c r="J55" s="3"/>
      <c r="K55" s="3"/>
      <c r="L55" s="3"/>
      <c r="M55" s="3" t="s">
        <v>378</v>
      </c>
      <c r="N55" s="3" t="s">
        <v>379</v>
      </c>
      <c r="O55" s="3"/>
      <c r="P55" s="3"/>
      <c r="Q55" s="3" t="s">
        <v>380</v>
      </c>
      <c r="R55" s="3" t="s">
        <v>17</v>
      </c>
      <c r="S55" s="3"/>
      <c r="T55" s="3" t="s">
        <v>381</v>
      </c>
      <c r="U55" s="3" t="str">
        <f t="shared" si="2"/>
        <v>OK</v>
      </c>
      <c r="V55" s="3" t="str">
        <f t="shared" si="3"/>
        <v>OK</v>
      </c>
    </row>
    <row r="56" spans="1:22" x14ac:dyDescent="0.2">
      <c r="A56" s="3" t="s">
        <v>382</v>
      </c>
      <c r="B56" s="3" t="s">
        <v>383</v>
      </c>
      <c r="C56" s="3" t="s">
        <v>22</v>
      </c>
      <c r="D56" s="3" t="s">
        <v>23</v>
      </c>
      <c r="E56" s="3"/>
      <c r="F56" s="3"/>
      <c r="G56" s="3"/>
      <c r="H56" s="3" t="s">
        <v>323</v>
      </c>
      <c r="I56" s="3"/>
      <c r="J56" s="3" t="s">
        <v>384</v>
      </c>
      <c r="K56" s="3"/>
      <c r="L56" s="3"/>
      <c r="M56" s="3"/>
      <c r="N56" s="3" t="s">
        <v>385</v>
      </c>
      <c r="O56" s="3"/>
      <c r="P56" s="3"/>
      <c r="Q56" s="3" t="s">
        <v>386</v>
      </c>
      <c r="R56" s="3" t="s">
        <v>17</v>
      </c>
      <c r="S56" s="3"/>
      <c r="T56" s="3" t="s">
        <v>387</v>
      </c>
      <c r="U56" s="3" t="str">
        <f t="shared" si="2"/>
        <v>OK</v>
      </c>
      <c r="V56" s="3" t="str">
        <f t="shared" si="3"/>
        <v>OK</v>
      </c>
    </row>
    <row r="57" spans="1:22" x14ac:dyDescent="0.2">
      <c r="A57" s="3" t="s">
        <v>388</v>
      </c>
      <c r="B57" s="3" t="s">
        <v>389</v>
      </c>
      <c r="C57" s="3" t="s">
        <v>22</v>
      </c>
      <c r="D57" s="3" t="s">
        <v>23</v>
      </c>
      <c r="E57" s="3"/>
      <c r="F57" s="3"/>
      <c r="G57" s="3"/>
      <c r="H57" s="3" t="s">
        <v>334</v>
      </c>
      <c r="I57" s="3"/>
      <c r="J57" s="3" t="s">
        <v>390</v>
      </c>
      <c r="K57" s="3"/>
      <c r="L57" s="3"/>
      <c r="M57" s="3"/>
      <c r="N57" s="3" t="s">
        <v>391</v>
      </c>
      <c r="O57" s="3"/>
      <c r="P57" s="3"/>
      <c r="Q57" s="3" t="s">
        <v>46</v>
      </c>
      <c r="R57" s="3" t="s">
        <v>17</v>
      </c>
      <c r="S57" s="3"/>
      <c r="T57" s="3" t="s">
        <v>392</v>
      </c>
      <c r="U57" s="3" t="str">
        <f t="shared" si="2"/>
        <v>OK</v>
      </c>
      <c r="V57" s="3" t="str">
        <f t="shared" si="3"/>
        <v>OK</v>
      </c>
    </row>
    <row r="58" spans="1:22" x14ac:dyDescent="0.2">
      <c r="A58" s="3" t="s">
        <v>393</v>
      </c>
      <c r="B58" s="3" t="s">
        <v>394</v>
      </c>
      <c r="C58" s="3" t="s">
        <v>22</v>
      </c>
      <c r="D58" s="3" t="s">
        <v>395</v>
      </c>
      <c r="E58" s="3"/>
      <c r="F58" s="3"/>
      <c r="G58" s="3"/>
      <c r="H58" s="3" t="s">
        <v>396</v>
      </c>
      <c r="I58" s="3"/>
      <c r="J58" s="3" t="s">
        <v>397</v>
      </c>
      <c r="K58" s="3"/>
      <c r="L58" s="3"/>
      <c r="M58" s="3"/>
      <c r="N58" s="3" t="s">
        <v>398</v>
      </c>
      <c r="O58" s="3"/>
      <c r="P58" s="3" t="s">
        <v>399</v>
      </c>
      <c r="Q58" s="3" t="s">
        <v>232</v>
      </c>
      <c r="R58" s="3" t="s">
        <v>17</v>
      </c>
      <c r="S58" s="3"/>
      <c r="T58" s="3" t="s">
        <v>400</v>
      </c>
      <c r="U58" s="3" t="str">
        <f t="shared" si="2"/>
        <v>OK</v>
      </c>
      <c r="V58" s="3" t="str">
        <f t="shared" si="3"/>
        <v>OK</v>
      </c>
    </row>
    <row r="59" spans="1:22" x14ac:dyDescent="0.2">
      <c r="A59" s="3" t="s">
        <v>401</v>
      </c>
      <c r="B59" s="3" t="s">
        <v>402</v>
      </c>
      <c r="C59" s="3" t="s">
        <v>22</v>
      </c>
      <c r="D59" s="3" t="s">
        <v>23</v>
      </c>
      <c r="E59" s="3"/>
      <c r="F59" s="3" t="s">
        <v>403</v>
      </c>
      <c r="G59" s="3"/>
      <c r="H59" s="3" t="s">
        <v>404</v>
      </c>
      <c r="I59" s="3" t="s">
        <v>405</v>
      </c>
      <c r="J59" s="3" t="s">
        <v>406</v>
      </c>
      <c r="K59" s="3"/>
      <c r="L59" s="3"/>
      <c r="M59" s="3"/>
      <c r="N59" s="3" t="s">
        <v>407</v>
      </c>
      <c r="O59" s="3"/>
      <c r="P59" s="3"/>
      <c r="Q59" s="3"/>
      <c r="R59" s="3" t="s">
        <v>17</v>
      </c>
      <c r="S59" s="3"/>
      <c r="T59" s="3" t="s">
        <v>408</v>
      </c>
      <c r="U59" s="3" t="str">
        <f t="shared" si="2"/>
        <v>OK</v>
      </c>
      <c r="V59" s="3" t="str">
        <f t="shared" si="3"/>
        <v>OK</v>
      </c>
    </row>
    <row r="60" spans="1:22" x14ac:dyDescent="0.2">
      <c r="A60" s="3" t="s">
        <v>409</v>
      </c>
      <c r="B60" s="3" t="s">
        <v>410</v>
      </c>
      <c r="C60" s="3" t="s">
        <v>22</v>
      </c>
      <c r="D60" s="3" t="s">
        <v>411</v>
      </c>
      <c r="E60" s="3"/>
      <c r="F60" s="3" t="s">
        <v>412</v>
      </c>
      <c r="G60" s="3"/>
      <c r="H60" s="3" t="s">
        <v>413</v>
      </c>
      <c r="I60" s="3" t="s">
        <v>414</v>
      </c>
      <c r="J60" s="3" t="s">
        <v>415</v>
      </c>
      <c r="K60" s="3"/>
      <c r="L60" s="3"/>
      <c r="M60" s="3"/>
      <c r="N60" s="3" t="s">
        <v>416</v>
      </c>
      <c r="O60" s="3"/>
      <c r="P60" s="3"/>
      <c r="Q60" s="3"/>
      <c r="R60" s="3" t="s">
        <v>17</v>
      </c>
      <c r="S60" s="3"/>
      <c r="T60" s="3" t="s">
        <v>417</v>
      </c>
      <c r="U60" s="3" t="str">
        <f t="shared" si="2"/>
        <v>OK</v>
      </c>
      <c r="V60" s="3" t="str">
        <f t="shared" si="3"/>
        <v>OK</v>
      </c>
    </row>
    <row r="61" spans="1:22" x14ac:dyDescent="0.2">
      <c r="A61" s="3" t="s">
        <v>418</v>
      </c>
      <c r="B61" s="3" t="s">
        <v>419</v>
      </c>
      <c r="C61" s="3" t="s">
        <v>22</v>
      </c>
      <c r="D61" s="3" t="s">
        <v>411</v>
      </c>
      <c r="E61" s="3"/>
      <c r="F61" s="3" t="s">
        <v>420</v>
      </c>
      <c r="G61" s="3"/>
      <c r="H61" s="3"/>
      <c r="I61" s="3" t="s">
        <v>421</v>
      </c>
      <c r="J61" s="3" t="s">
        <v>422</v>
      </c>
      <c r="K61" s="3"/>
      <c r="L61" s="3"/>
      <c r="M61" s="3"/>
      <c r="N61" s="3" t="s">
        <v>423</v>
      </c>
      <c r="O61" s="3"/>
      <c r="P61" s="3"/>
      <c r="Q61" s="3"/>
      <c r="R61" s="3" t="s">
        <v>17</v>
      </c>
      <c r="S61" s="3"/>
      <c r="T61" s="3" t="s">
        <v>424</v>
      </c>
      <c r="U61" s="3" t="str">
        <f t="shared" si="2"/>
        <v>OK</v>
      </c>
      <c r="V61" s="3" t="str">
        <f t="shared" si="3"/>
        <v>OK</v>
      </c>
    </row>
    <row r="62" spans="1:22" x14ac:dyDescent="0.2">
      <c r="A62" s="3" t="s">
        <v>425</v>
      </c>
      <c r="B62" s="3" t="s">
        <v>426</v>
      </c>
      <c r="C62" s="3" t="s">
        <v>22</v>
      </c>
      <c r="D62" s="3" t="s">
        <v>23</v>
      </c>
      <c r="E62" s="3"/>
      <c r="F62" s="3" t="s">
        <v>427</v>
      </c>
      <c r="G62" s="3"/>
      <c r="H62" s="3" t="s">
        <v>428</v>
      </c>
      <c r="I62" s="3"/>
      <c r="J62" s="3" t="s">
        <v>429</v>
      </c>
      <c r="K62" s="3"/>
      <c r="L62" s="3"/>
      <c r="M62" s="3"/>
      <c r="N62" s="3" t="s">
        <v>430</v>
      </c>
      <c r="O62" s="3"/>
      <c r="P62" s="3"/>
      <c r="Q62" s="3"/>
      <c r="R62" s="3" t="s">
        <v>17</v>
      </c>
      <c r="S62" s="3"/>
      <c r="T62" s="3" t="s">
        <v>431</v>
      </c>
      <c r="U62" s="3" t="str">
        <f t="shared" si="2"/>
        <v>OK</v>
      </c>
      <c r="V62" s="3" t="str">
        <f t="shared" si="3"/>
        <v>OK</v>
      </c>
    </row>
    <row r="63" spans="1:22" x14ac:dyDescent="0.2">
      <c r="A63" s="3" t="s">
        <v>432</v>
      </c>
      <c r="B63" s="3" t="s">
        <v>433</v>
      </c>
      <c r="C63" s="3" t="s">
        <v>22</v>
      </c>
      <c r="D63" s="3" t="s">
        <v>23</v>
      </c>
      <c r="E63" s="3"/>
      <c r="F63" s="3" t="s">
        <v>434</v>
      </c>
      <c r="G63" s="3"/>
      <c r="H63" s="3" t="s">
        <v>435</v>
      </c>
      <c r="I63" s="3"/>
      <c r="J63" s="3" t="s">
        <v>436</v>
      </c>
      <c r="K63" s="3"/>
      <c r="L63" s="3"/>
      <c r="M63" s="3"/>
      <c r="N63" s="3" t="s">
        <v>437</v>
      </c>
      <c r="O63" s="3"/>
      <c r="P63" s="3"/>
      <c r="Q63" s="3"/>
      <c r="R63" s="3" t="s">
        <v>17</v>
      </c>
      <c r="S63" s="3"/>
      <c r="T63" s="3" t="s">
        <v>438</v>
      </c>
      <c r="U63" s="3" t="str">
        <f t="shared" si="2"/>
        <v>OK</v>
      </c>
      <c r="V63" s="3" t="str">
        <f t="shared" si="3"/>
        <v>OK</v>
      </c>
    </row>
    <row r="64" spans="1:22" x14ac:dyDescent="0.2">
      <c r="A64" s="3" t="s">
        <v>439</v>
      </c>
      <c r="B64" s="3" t="s">
        <v>440</v>
      </c>
      <c r="C64" s="3" t="s">
        <v>22</v>
      </c>
      <c r="D64" s="3" t="s">
        <v>23</v>
      </c>
      <c r="E64" s="3"/>
      <c r="F64" s="3" t="s">
        <v>441</v>
      </c>
      <c r="G64" s="3" t="s">
        <v>442</v>
      </c>
      <c r="H64" s="3" t="s">
        <v>443</v>
      </c>
      <c r="I64" s="3"/>
      <c r="J64" s="3"/>
      <c r="K64" s="3"/>
      <c r="L64" s="3"/>
      <c r="M64" s="3"/>
      <c r="N64" s="3" t="s">
        <v>444</v>
      </c>
      <c r="O64" s="3" t="s">
        <v>445</v>
      </c>
      <c r="P64" s="3" t="s">
        <v>446</v>
      </c>
      <c r="Q64" s="3" t="s">
        <v>57</v>
      </c>
      <c r="R64" s="3" t="s">
        <v>17</v>
      </c>
      <c r="S64" s="3" t="s">
        <v>447</v>
      </c>
      <c r="T64" s="3" t="s">
        <v>448</v>
      </c>
      <c r="U64" s="3" t="str">
        <f t="shared" si="2"/>
        <v>OK</v>
      </c>
      <c r="V64" s="3" t="str">
        <f t="shared" si="3"/>
        <v>OK</v>
      </c>
    </row>
    <row r="65" spans="1:22" x14ac:dyDescent="0.2">
      <c r="A65" s="3" t="s">
        <v>449</v>
      </c>
      <c r="B65" s="3" t="s">
        <v>450</v>
      </c>
      <c r="C65" s="3" t="s">
        <v>22</v>
      </c>
      <c r="D65" s="3" t="s">
        <v>23</v>
      </c>
      <c r="E65" s="3" t="s">
        <v>451</v>
      </c>
      <c r="F65" s="3" t="s">
        <v>452</v>
      </c>
      <c r="G65" s="3" t="s">
        <v>453</v>
      </c>
      <c r="H65" s="3" t="s">
        <v>454</v>
      </c>
      <c r="I65" s="3"/>
      <c r="J65" s="3"/>
      <c r="K65" s="3"/>
      <c r="L65" s="3"/>
      <c r="M65" s="3"/>
      <c r="N65" s="3" t="s">
        <v>455</v>
      </c>
      <c r="O65" s="3" t="s">
        <v>456</v>
      </c>
      <c r="P65" s="3" t="s">
        <v>457</v>
      </c>
      <c r="Q65" s="3" t="s">
        <v>458</v>
      </c>
      <c r="R65" s="3" t="s">
        <v>17</v>
      </c>
      <c r="S65" s="3"/>
      <c r="T65" s="3" t="s">
        <v>459</v>
      </c>
      <c r="U65" s="3" t="str">
        <f t="shared" si="2"/>
        <v>OK</v>
      </c>
      <c r="V65" s="3" t="str">
        <f t="shared" si="3"/>
        <v>OK</v>
      </c>
    </row>
    <row r="66" spans="1:22" x14ac:dyDescent="0.2">
      <c r="A66" s="3" t="s">
        <v>460</v>
      </c>
      <c r="B66" s="3" t="s">
        <v>461</v>
      </c>
      <c r="C66" s="3" t="s">
        <v>22</v>
      </c>
      <c r="D66" s="3" t="s">
        <v>23</v>
      </c>
      <c r="E66" s="3" t="s">
        <v>39</v>
      </c>
      <c r="F66" s="3" t="s">
        <v>462</v>
      </c>
      <c r="G66" s="3"/>
      <c r="H66" s="3" t="s">
        <v>463</v>
      </c>
      <c r="I66" s="3"/>
      <c r="J66" s="3"/>
      <c r="K66" s="3"/>
      <c r="L66" s="3"/>
      <c r="M66" s="3"/>
      <c r="N66" s="3" t="s">
        <v>464</v>
      </c>
      <c r="O66" s="3" t="s">
        <v>465</v>
      </c>
      <c r="P66" s="3"/>
      <c r="Q66" s="3" t="s">
        <v>466</v>
      </c>
      <c r="R66" s="3" t="s">
        <v>17</v>
      </c>
      <c r="S66" s="3"/>
      <c r="T66" s="3" t="s">
        <v>467</v>
      </c>
      <c r="U66" s="3" t="str">
        <f t="shared" ref="U66:U97" si="4">IF(OR(T66="",T66="-"),IF(_xlfn.TEXTJOIN("",TRUE,E66:R66)="","OK","MISMATCH"),IF((LEN(T66)-LEN(SUBSTITUTE(T66,",",""))+1)=(LEN(_xlfn.TEXTJOIN(",",TRUE,E66:R66))-LEN(SUBSTITUTE(_xlfn.TEXTJOIN(",",TRUE,E66:R66),",",""))+1),"OK","MISMATCH"))</f>
        <v>OK</v>
      </c>
      <c r="V66" s="3" t="str">
        <f t="shared" ref="V66:V99" si="5">IF(T66="-",IF(_xlfn.TEXTJOIN("",TRUE,E66:R66)="","OK","MISMATCH"),IF((LEN(T66)-LEN(SUBSTITUTE(T66,",",""))+1)=(LEN(_xlfn.TEXTJOIN(",",TRUE,E66:R66))-LEN(SUBSTITUTE(_xlfn.TEXTJOIN(",",TRUE,E66:R66),",",""))+1),"OK","MISMATCH"))</f>
        <v>OK</v>
      </c>
    </row>
    <row r="67" spans="1:22" x14ac:dyDescent="0.2">
      <c r="A67" s="3" t="s">
        <v>468</v>
      </c>
      <c r="B67" s="3" t="s">
        <v>469</v>
      </c>
      <c r="C67" s="3" t="s">
        <v>22</v>
      </c>
      <c r="D67" s="3" t="s">
        <v>411</v>
      </c>
      <c r="E67" s="3" t="s">
        <v>470</v>
      </c>
      <c r="F67" s="3" t="s">
        <v>471</v>
      </c>
      <c r="G67" s="3" t="s">
        <v>472</v>
      </c>
      <c r="H67" s="3" t="s">
        <v>473</v>
      </c>
      <c r="I67" s="3" t="s">
        <v>474</v>
      </c>
      <c r="J67" s="3"/>
      <c r="K67" s="3"/>
      <c r="L67" s="3"/>
      <c r="M67" s="3"/>
      <c r="N67" s="3" t="s">
        <v>475</v>
      </c>
      <c r="O67" s="3" t="s">
        <v>476</v>
      </c>
      <c r="P67" s="3" t="s">
        <v>477</v>
      </c>
      <c r="Q67" s="3" t="s">
        <v>478</v>
      </c>
      <c r="R67" s="3" t="s">
        <v>17</v>
      </c>
      <c r="S67" s="3"/>
      <c r="T67" s="3" t="s">
        <v>479</v>
      </c>
      <c r="U67" s="3" t="str">
        <f t="shared" si="4"/>
        <v>OK</v>
      </c>
      <c r="V67" s="3" t="str">
        <f t="shared" si="5"/>
        <v>OK</v>
      </c>
    </row>
    <row r="68" spans="1:22" x14ac:dyDescent="0.2">
      <c r="A68" s="3" t="s">
        <v>480</v>
      </c>
      <c r="B68" s="3" t="s">
        <v>481</v>
      </c>
      <c r="C68" s="3" t="s">
        <v>22</v>
      </c>
      <c r="D68" s="3" t="s">
        <v>482</v>
      </c>
      <c r="E68" s="3" t="s">
        <v>483</v>
      </c>
      <c r="F68" s="3" t="s">
        <v>484</v>
      </c>
      <c r="G68" s="3"/>
      <c r="H68" s="3" t="s">
        <v>485</v>
      </c>
      <c r="I68" s="3" t="s">
        <v>486</v>
      </c>
      <c r="J68" s="3"/>
      <c r="K68" s="3"/>
      <c r="L68" s="3"/>
      <c r="M68" s="3" t="s">
        <v>487</v>
      </c>
      <c r="N68" s="3"/>
      <c r="O68" s="3"/>
      <c r="P68" s="3" t="s">
        <v>488</v>
      </c>
      <c r="Q68" s="3"/>
      <c r="R68" s="3" t="s">
        <v>17</v>
      </c>
      <c r="S68" s="3"/>
      <c r="T68" s="3" t="s">
        <v>489</v>
      </c>
      <c r="U68" s="3" t="str">
        <f t="shared" si="4"/>
        <v>OK</v>
      </c>
      <c r="V68" s="3" t="str">
        <f t="shared" si="5"/>
        <v>OK</v>
      </c>
    </row>
    <row r="69" spans="1:22" x14ac:dyDescent="0.2">
      <c r="A69" s="3" t="s">
        <v>490</v>
      </c>
      <c r="B69" s="3" t="s">
        <v>491</v>
      </c>
      <c r="C69" s="3" t="s">
        <v>22</v>
      </c>
      <c r="D69" s="3" t="s">
        <v>347</v>
      </c>
      <c r="E69" s="3"/>
      <c r="F69" s="3" t="s">
        <v>492</v>
      </c>
      <c r="G69" s="3" t="s">
        <v>322</v>
      </c>
      <c r="H69" s="3" t="s">
        <v>493</v>
      </c>
      <c r="I69" s="3" t="s">
        <v>494</v>
      </c>
      <c r="J69" s="3"/>
      <c r="K69" s="3"/>
      <c r="L69" s="3" t="s">
        <v>248</v>
      </c>
      <c r="M69" s="3"/>
      <c r="N69" s="3"/>
      <c r="O69" s="3" t="s">
        <v>445</v>
      </c>
      <c r="P69" s="3" t="s">
        <v>102</v>
      </c>
      <c r="Q69" s="3"/>
      <c r="R69" s="3" t="s">
        <v>17</v>
      </c>
      <c r="S69" s="3" t="s">
        <v>495</v>
      </c>
      <c r="T69" s="3" t="s">
        <v>496</v>
      </c>
      <c r="U69" s="3" t="str">
        <f t="shared" si="4"/>
        <v>OK</v>
      </c>
      <c r="V69" s="3" t="str">
        <f t="shared" si="5"/>
        <v>OK</v>
      </c>
    </row>
    <row r="70" spans="1:22" x14ac:dyDescent="0.2">
      <c r="A70" s="3" t="s">
        <v>497</v>
      </c>
      <c r="B70" s="3" t="s">
        <v>498</v>
      </c>
      <c r="C70" s="3" t="s">
        <v>22</v>
      </c>
      <c r="D70" s="3" t="s">
        <v>347</v>
      </c>
      <c r="E70" s="3"/>
      <c r="F70" s="3" t="s">
        <v>499</v>
      </c>
      <c r="G70" s="3"/>
      <c r="H70" s="3" t="s">
        <v>500</v>
      </c>
      <c r="I70" s="3"/>
      <c r="J70" s="3"/>
      <c r="K70" s="3"/>
      <c r="L70" s="3"/>
      <c r="M70" s="3" t="s">
        <v>501</v>
      </c>
      <c r="N70" s="3"/>
      <c r="O70" s="3" t="s">
        <v>456</v>
      </c>
      <c r="P70" s="3" t="s">
        <v>502</v>
      </c>
      <c r="Q70" s="3" t="s">
        <v>156</v>
      </c>
      <c r="R70" s="3" t="s">
        <v>17</v>
      </c>
      <c r="S70" s="3"/>
      <c r="T70" s="3" t="s">
        <v>503</v>
      </c>
      <c r="U70" s="3" t="str">
        <f t="shared" si="4"/>
        <v>OK</v>
      </c>
      <c r="V70" s="3" t="str">
        <f t="shared" si="5"/>
        <v>OK</v>
      </c>
    </row>
    <row r="71" spans="1:22" x14ac:dyDescent="0.2">
      <c r="A71" s="3" t="s">
        <v>504</v>
      </c>
      <c r="B71" s="3" t="s">
        <v>505</v>
      </c>
      <c r="C71" s="3" t="s">
        <v>22</v>
      </c>
      <c r="D71" s="3" t="s">
        <v>347</v>
      </c>
      <c r="E71" s="3"/>
      <c r="F71" s="3" t="s">
        <v>506</v>
      </c>
      <c r="G71" s="3" t="s">
        <v>349</v>
      </c>
      <c r="H71" s="3" t="s">
        <v>507</v>
      </c>
      <c r="I71" s="3"/>
      <c r="J71" s="3"/>
      <c r="K71" s="3" t="s">
        <v>508</v>
      </c>
      <c r="L71" s="3"/>
      <c r="M71" s="3" t="s">
        <v>509</v>
      </c>
      <c r="N71" s="3"/>
      <c r="O71" s="3"/>
      <c r="P71" s="3" t="s">
        <v>188</v>
      </c>
      <c r="Q71" s="3"/>
      <c r="R71" s="3" t="s">
        <v>17</v>
      </c>
      <c r="S71" s="3"/>
      <c r="T71" s="3" t="s">
        <v>510</v>
      </c>
      <c r="U71" s="3" t="str">
        <f t="shared" si="4"/>
        <v>OK</v>
      </c>
      <c r="V71" s="3" t="str">
        <f t="shared" si="5"/>
        <v>OK</v>
      </c>
    </row>
    <row r="72" spans="1:22" x14ac:dyDescent="0.2">
      <c r="A72" s="3" t="s">
        <v>511</v>
      </c>
      <c r="B72" s="3" t="s">
        <v>512</v>
      </c>
      <c r="C72" s="3" t="s">
        <v>22</v>
      </c>
      <c r="D72" s="3" t="s">
        <v>347</v>
      </c>
      <c r="E72" s="3"/>
      <c r="F72" s="3" t="s">
        <v>513</v>
      </c>
      <c r="G72" s="3" t="s">
        <v>322</v>
      </c>
      <c r="H72" s="3" t="s">
        <v>514</v>
      </c>
      <c r="I72" s="3"/>
      <c r="J72" s="3" t="s">
        <v>99</v>
      </c>
      <c r="K72" s="3" t="s">
        <v>515</v>
      </c>
      <c r="L72" s="3"/>
      <c r="M72" s="3" t="s">
        <v>516</v>
      </c>
      <c r="N72" s="3"/>
      <c r="O72" s="3"/>
      <c r="P72" s="3" t="s">
        <v>102</v>
      </c>
      <c r="Q72" s="3"/>
      <c r="R72" s="3" t="s">
        <v>17</v>
      </c>
      <c r="S72" s="3"/>
      <c r="T72" s="3" t="s">
        <v>517</v>
      </c>
      <c r="U72" s="3" t="str">
        <f t="shared" si="4"/>
        <v>OK</v>
      </c>
      <c r="V72" s="3" t="str">
        <f t="shared" si="5"/>
        <v>OK</v>
      </c>
    </row>
    <row r="73" spans="1:22" x14ac:dyDescent="0.2">
      <c r="A73" s="3" t="s">
        <v>518</v>
      </c>
      <c r="B73" s="3" t="s">
        <v>519</v>
      </c>
      <c r="C73" s="3" t="s">
        <v>22</v>
      </c>
      <c r="D73" s="3" t="s">
        <v>74</v>
      </c>
      <c r="E73" s="3" t="s">
        <v>520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 t="s">
        <v>17</v>
      </c>
      <c r="S73" s="3"/>
      <c r="T73" s="3" t="s">
        <v>521</v>
      </c>
      <c r="U73" s="3" t="str">
        <f t="shared" si="4"/>
        <v>OK</v>
      </c>
      <c r="V73" s="3" t="str">
        <f t="shared" si="5"/>
        <v>OK</v>
      </c>
    </row>
    <row r="74" spans="1:22" x14ac:dyDescent="0.2">
      <c r="A74" s="3" t="s">
        <v>522</v>
      </c>
      <c r="B74" s="3" t="s">
        <v>342</v>
      </c>
      <c r="C74" s="3" t="s">
        <v>71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 t="str">
        <f t="shared" si="4"/>
        <v>OK</v>
      </c>
      <c r="V74" s="3" t="str">
        <f t="shared" si="5"/>
        <v>OK</v>
      </c>
    </row>
    <row r="75" spans="1:22" x14ac:dyDescent="0.2">
      <c r="A75" s="3" t="s">
        <v>523</v>
      </c>
      <c r="B75" s="3" t="s">
        <v>83</v>
      </c>
      <c r="C75" s="3" t="s">
        <v>71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 t="str">
        <f t="shared" si="4"/>
        <v>OK</v>
      </c>
      <c r="V75" s="3" t="str">
        <f t="shared" si="5"/>
        <v>OK</v>
      </c>
    </row>
    <row r="76" spans="1:22" x14ac:dyDescent="0.2">
      <c r="A76" s="3" t="s">
        <v>524</v>
      </c>
      <c r="B76" s="3" t="s">
        <v>85</v>
      </c>
      <c r="C76" s="3" t="s">
        <v>71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 t="str">
        <f t="shared" si="4"/>
        <v>OK</v>
      </c>
      <c r="V76" s="3" t="str">
        <f t="shared" si="5"/>
        <v>OK</v>
      </c>
    </row>
    <row r="77" spans="1:22" x14ac:dyDescent="0.2">
      <c r="A77" s="3" t="s">
        <v>525</v>
      </c>
      <c r="B77" s="3" t="s">
        <v>526</v>
      </c>
      <c r="C77" s="3" t="s">
        <v>22</v>
      </c>
      <c r="D77" s="3" t="s">
        <v>74</v>
      </c>
      <c r="E77" s="3" t="s">
        <v>527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 t="s">
        <v>17</v>
      </c>
      <c r="S77" s="3"/>
      <c r="T77" s="3" t="s">
        <v>528</v>
      </c>
      <c r="U77" s="3" t="str">
        <f t="shared" si="4"/>
        <v>OK</v>
      </c>
      <c r="V77" s="3" t="str">
        <f t="shared" si="5"/>
        <v>OK</v>
      </c>
    </row>
    <row r="78" spans="1:22" x14ac:dyDescent="0.2">
      <c r="A78" s="3" t="s">
        <v>529</v>
      </c>
      <c r="B78" s="3" t="s">
        <v>530</v>
      </c>
      <c r="C78" s="3" t="s">
        <v>22</v>
      </c>
      <c r="D78" s="3" t="s">
        <v>74</v>
      </c>
      <c r="E78" s="3" t="s">
        <v>531</v>
      </c>
      <c r="F78" s="3" t="s">
        <v>532</v>
      </c>
      <c r="G78" s="3" t="s">
        <v>174</v>
      </c>
      <c r="H78" s="3" t="s">
        <v>533</v>
      </c>
      <c r="I78" s="3"/>
      <c r="J78" s="3"/>
      <c r="K78" s="3"/>
      <c r="L78" s="3"/>
      <c r="M78" s="3"/>
      <c r="N78" s="3"/>
      <c r="O78" s="3"/>
      <c r="P78" s="3"/>
      <c r="Q78" s="3" t="s">
        <v>534</v>
      </c>
      <c r="R78" s="3" t="s">
        <v>17</v>
      </c>
      <c r="S78" s="3"/>
      <c r="T78" s="3" t="s">
        <v>535</v>
      </c>
      <c r="U78" s="3" t="str">
        <f t="shared" si="4"/>
        <v>OK</v>
      </c>
      <c r="V78" s="3" t="str">
        <f t="shared" si="5"/>
        <v>OK</v>
      </c>
    </row>
    <row r="79" spans="1:22" x14ac:dyDescent="0.2">
      <c r="A79" s="3" t="s">
        <v>536</v>
      </c>
      <c r="B79" s="3" t="s">
        <v>537</v>
      </c>
      <c r="C79" s="3" t="s">
        <v>22</v>
      </c>
      <c r="D79" s="3" t="s">
        <v>108</v>
      </c>
      <c r="E79" s="3"/>
      <c r="F79" s="3" t="s">
        <v>538</v>
      </c>
      <c r="G79" s="3" t="s">
        <v>539</v>
      </c>
      <c r="H79" s="3" t="s">
        <v>540</v>
      </c>
      <c r="I79" s="3"/>
      <c r="J79" s="3"/>
      <c r="K79" s="3"/>
      <c r="L79" s="3"/>
      <c r="M79" s="3"/>
      <c r="N79" s="3" t="s">
        <v>541</v>
      </c>
      <c r="O79" s="3" t="s">
        <v>542</v>
      </c>
      <c r="P79" s="3" t="s">
        <v>146</v>
      </c>
      <c r="Q79" s="3" t="s">
        <v>543</v>
      </c>
      <c r="R79" s="3" t="s">
        <v>17</v>
      </c>
      <c r="S79" s="3"/>
      <c r="T79" s="3" t="s">
        <v>544</v>
      </c>
      <c r="U79" s="3" t="str">
        <f t="shared" si="4"/>
        <v>OK</v>
      </c>
      <c r="V79" s="3" t="str">
        <f t="shared" si="5"/>
        <v>OK</v>
      </c>
    </row>
    <row r="80" spans="1:22" x14ac:dyDescent="0.2">
      <c r="A80" s="3" t="s">
        <v>545</v>
      </c>
      <c r="B80" s="3" t="s">
        <v>546</v>
      </c>
      <c r="C80" s="3" t="s">
        <v>22</v>
      </c>
      <c r="D80" s="3" t="s">
        <v>23</v>
      </c>
      <c r="E80" s="3"/>
      <c r="F80" s="3" t="s">
        <v>547</v>
      </c>
      <c r="G80" s="3" t="s">
        <v>548</v>
      </c>
      <c r="H80" s="3" t="s">
        <v>549</v>
      </c>
      <c r="I80" s="3"/>
      <c r="J80" s="3"/>
      <c r="K80" s="3"/>
      <c r="L80" s="3"/>
      <c r="M80" s="3"/>
      <c r="N80" s="3" t="s">
        <v>550</v>
      </c>
      <c r="O80" s="3" t="s">
        <v>44</v>
      </c>
      <c r="P80" s="3"/>
      <c r="Q80" s="3" t="s">
        <v>551</v>
      </c>
      <c r="R80" s="3" t="s">
        <v>17</v>
      </c>
      <c r="S80" s="3"/>
      <c r="T80" s="3" t="s">
        <v>552</v>
      </c>
      <c r="U80" s="3" t="str">
        <f t="shared" si="4"/>
        <v>OK</v>
      </c>
      <c r="V80" s="3" t="str">
        <f t="shared" si="5"/>
        <v>OK</v>
      </c>
    </row>
    <row r="81" spans="1:22" x14ac:dyDescent="0.2">
      <c r="A81" s="3" t="s">
        <v>553</v>
      </c>
      <c r="B81" s="3" t="s">
        <v>554</v>
      </c>
      <c r="C81" s="3" t="s">
        <v>22</v>
      </c>
      <c r="D81" s="3" t="s">
        <v>23</v>
      </c>
      <c r="E81" s="3" t="s">
        <v>61</v>
      </c>
      <c r="F81" s="3" t="s">
        <v>555</v>
      </c>
      <c r="G81" s="3" t="s">
        <v>247</v>
      </c>
      <c r="H81" s="3" t="s">
        <v>556</v>
      </c>
      <c r="I81" s="3"/>
      <c r="J81" s="3"/>
      <c r="K81" s="3"/>
      <c r="L81" s="3"/>
      <c r="M81" s="3"/>
      <c r="N81" s="3" t="s">
        <v>557</v>
      </c>
      <c r="O81" s="3" t="s">
        <v>558</v>
      </c>
      <c r="P81" s="3"/>
      <c r="Q81" s="3"/>
      <c r="R81" s="3" t="s">
        <v>17</v>
      </c>
      <c r="S81" s="3"/>
      <c r="T81" s="3" t="s">
        <v>559</v>
      </c>
      <c r="U81" s="3" t="str">
        <f t="shared" si="4"/>
        <v>OK</v>
      </c>
      <c r="V81" s="3" t="str">
        <f t="shared" si="5"/>
        <v>OK</v>
      </c>
    </row>
    <row r="82" spans="1:22" x14ac:dyDescent="0.2">
      <c r="A82" s="3" t="s">
        <v>560</v>
      </c>
      <c r="B82" s="3" t="s">
        <v>561</v>
      </c>
      <c r="C82" s="3" t="s">
        <v>22</v>
      </c>
      <c r="D82" s="3" t="s">
        <v>23</v>
      </c>
      <c r="E82" s="3"/>
      <c r="F82" s="3"/>
      <c r="G82" s="3"/>
      <c r="H82" s="3" t="s">
        <v>562</v>
      </c>
      <c r="I82" s="3"/>
      <c r="J82" s="3" t="s">
        <v>563</v>
      </c>
      <c r="K82" s="3" t="s">
        <v>508</v>
      </c>
      <c r="L82" s="3"/>
      <c r="M82" s="3"/>
      <c r="N82" s="3" t="s">
        <v>564</v>
      </c>
      <c r="O82" s="3"/>
      <c r="P82" s="3"/>
      <c r="Q82" s="3" t="s">
        <v>565</v>
      </c>
      <c r="R82" s="3" t="s">
        <v>17</v>
      </c>
      <c r="S82" s="3"/>
      <c r="T82" s="3" t="s">
        <v>566</v>
      </c>
      <c r="U82" s="3" t="str">
        <f t="shared" si="4"/>
        <v>OK</v>
      </c>
      <c r="V82" s="3" t="str">
        <f t="shared" si="5"/>
        <v>OK</v>
      </c>
    </row>
    <row r="83" spans="1:22" x14ac:dyDescent="0.2">
      <c r="A83" s="3" t="s">
        <v>567</v>
      </c>
      <c r="B83" s="3" t="s">
        <v>568</v>
      </c>
      <c r="C83" s="3" t="s">
        <v>22</v>
      </c>
      <c r="D83" s="3" t="s">
        <v>23</v>
      </c>
      <c r="E83" s="3"/>
      <c r="F83" s="3"/>
      <c r="G83" s="3"/>
      <c r="H83" s="3" t="s">
        <v>569</v>
      </c>
      <c r="I83" s="3"/>
      <c r="J83" s="3" t="s">
        <v>570</v>
      </c>
      <c r="K83" s="3" t="s">
        <v>515</v>
      </c>
      <c r="L83" s="3"/>
      <c r="M83" s="3"/>
      <c r="N83" s="3" t="s">
        <v>571</v>
      </c>
      <c r="O83" s="3"/>
      <c r="P83" s="3"/>
      <c r="Q83" s="3" t="s">
        <v>572</v>
      </c>
      <c r="R83" s="3" t="s">
        <v>17</v>
      </c>
      <c r="S83" s="3"/>
      <c r="T83" s="3" t="s">
        <v>573</v>
      </c>
      <c r="U83" s="3" t="str">
        <f t="shared" si="4"/>
        <v>OK</v>
      </c>
      <c r="V83" s="3" t="str">
        <f t="shared" si="5"/>
        <v>OK</v>
      </c>
    </row>
    <row r="84" spans="1:22" x14ac:dyDescent="0.2">
      <c r="A84" s="3" t="s">
        <v>574</v>
      </c>
      <c r="B84" s="3" t="s">
        <v>575</v>
      </c>
      <c r="C84" s="3" t="s">
        <v>22</v>
      </c>
      <c r="D84" s="3" t="s">
        <v>23</v>
      </c>
      <c r="E84" s="3" t="s">
        <v>50</v>
      </c>
      <c r="F84" s="3" t="s">
        <v>576</v>
      </c>
      <c r="G84" s="3"/>
      <c r="H84" s="3" t="s">
        <v>577</v>
      </c>
      <c r="I84" s="3"/>
      <c r="J84" s="3"/>
      <c r="K84" s="3"/>
      <c r="L84" s="3"/>
      <c r="M84" s="3"/>
      <c r="N84" s="3" t="s">
        <v>578</v>
      </c>
      <c r="O84" s="3" t="s">
        <v>579</v>
      </c>
      <c r="P84" s="3"/>
      <c r="Q84" s="3"/>
      <c r="R84" s="3" t="s">
        <v>17</v>
      </c>
      <c r="S84" s="3"/>
      <c r="T84" s="3" t="s">
        <v>580</v>
      </c>
      <c r="U84" s="3" t="str">
        <f t="shared" si="4"/>
        <v>OK</v>
      </c>
      <c r="V84" s="3" t="str">
        <f t="shared" si="5"/>
        <v>OK</v>
      </c>
    </row>
    <row r="85" spans="1:22" x14ac:dyDescent="0.2">
      <c r="A85" s="3" t="s">
        <v>581</v>
      </c>
      <c r="B85" s="3" t="s">
        <v>582</v>
      </c>
      <c r="C85" s="3" t="s">
        <v>22</v>
      </c>
      <c r="D85" s="3" t="s">
        <v>23</v>
      </c>
      <c r="E85" s="3"/>
      <c r="F85" s="3"/>
      <c r="G85" s="3" t="s">
        <v>322</v>
      </c>
      <c r="H85" s="3" t="s">
        <v>583</v>
      </c>
      <c r="I85" s="3"/>
      <c r="J85" s="3"/>
      <c r="K85" s="3"/>
      <c r="L85" s="3"/>
      <c r="M85" s="3"/>
      <c r="N85" s="3" t="s">
        <v>584</v>
      </c>
      <c r="O85" s="3" t="s">
        <v>585</v>
      </c>
      <c r="P85" s="3" t="s">
        <v>586</v>
      </c>
      <c r="Q85" s="3" t="s">
        <v>232</v>
      </c>
      <c r="R85" s="3" t="s">
        <v>17</v>
      </c>
      <c r="S85" s="3"/>
      <c r="T85" s="3" t="s">
        <v>587</v>
      </c>
      <c r="U85" s="3" t="str">
        <f t="shared" si="4"/>
        <v>OK</v>
      </c>
      <c r="V85" s="3" t="str">
        <f t="shared" si="5"/>
        <v>OK</v>
      </c>
    </row>
    <row r="86" spans="1:22" x14ac:dyDescent="0.2">
      <c r="A86" s="3" t="s">
        <v>588</v>
      </c>
      <c r="B86" s="3" t="s">
        <v>589</v>
      </c>
      <c r="C86" s="3" t="s">
        <v>22</v>
      </c>
      <c r="D86" s="3" t="s">
        <v>23</v>
      </c>
      <c r="E86" s="3"/>
      <c r="F86" s="3" t="s">
        <v>590</v>
      </c>
      <c r="G86" s="3"/>
      <c r="H86" s="3" t="s">
        <v>591</v>
      </c>
      <c r="I86" s="3"/>
      <c r="J86" s="3" t="s">
        <v>592</v>
      </c>
      <c r="K86" s="3"/>
      <c r="L86" s="3"/>
      <c r="M86" s="3"/>
      <c r="N86" s="3" t="s">
        <v>593</v>
      </c>
      <c r="O86" s="3"/>
      <c r="P86" s="3"/>
      <c r="Q86" s="3"/>
      <c r="R86" s="3" t="s">
        <v>17</v>
      </c>
      <c r="S86" s="3"/>
      <c r="T86" s="3" t="s">
        <v>594</v>
      </c>
      <c r="U86" s="3" t="str">
        <f t="shared" si="4"/>
        <v>OK</v>
      </c>
      <c r="V86" s="3" t="str">
        <f t="shared" si="5"/>
        <v>OK</v>
      </c>
    </row>
    <row r="87" spans="1:22" x14ac:dyDescent="0.2">
      <c r="A87" s="3" t="s">
        <v>595</v>
      </c>
      <c r="B87" s="3" t="s">
        <v>596</v>
      </c>
      <c r="C87" s="3" t="s">
        <v>22</v>
      </c>
      <c r="D87" s="3" t="s">
        <v>23</v>
      </c>
      <c r="E87" s="3"/>
      <c r="F87" s="3" t="s">
        <v>597</v>
      </c>
      <c r="G87" s="3"/>
      <c r="H87" s="3" t="s">
        <v>152</v>
      </c>
      <c r="I87" s="3"/>
      <c r="J87" s="3"/>
      <c r="K87" s="3"/>
      <c r="L87" s="3"/>
      <c r="M87" s="3"/>
      <c r="N87" s="3" t="s">
        <v>598</v>
      </c>
      <c r="O87" s="3"/>
      <c r="P87" s="3"/>
      <c r="Q87" s="3"/>
      <c r="R87" s="3" t="s">
        <v>17</v>
      </c>
      <c r="S87" s="3"/>
      <c r="T87" s="3" t="s">
        <v>599</v>
      </c>
      <c r="U87" s="3" t="str">
        <f t="shared" si="4"/>
        <v>OK</v>
      </c>
      <c r="V87" s="3" t="str">
        <f t="shared" si="5"/>
        <v>OK</v>
      </c>
    </row>
    <row r="88" spans="1:22" x14ac:dyDescent="0.2">
      <c r="A88" s="3" t="s">
        <v>600</v>
      </c>
      <c r="B88" s="3" t="s">
        <v>601</v>
      </c>
      <c r="C88" s="3" t="s">
        <v>22</v>
      </c>
      <c r="D88" s="3" t="s">
        <v>23</v>
      </c>
      <c r="E88" s="3"/>
      <c r="F88" s="3"/>
      <c r="G88" s="3" t="s">
        <v>247</v>
      </c>
      <c r="H88" s="3" t="s">
        <v>162</v>
      </c>
      <c r="I88" s="3"/>
      <c r="J88" s="3" t="s">
        <v>602</v>
      </c>
      <c r="K88" s="3"/>
      <c r="L88" s="3"/>
      <c r="M88" s="3"/>
      <c r="N88" s="3" t="s">
        <v>603</v>
      </c>
      <c r="O88" s="3" t="s">
        <v>604</v>
      </c>
      <c r="P88" s="3" t="s">
        <v>605</v>
      </c>
      <c r="Q88" s="3" t="s">
        <v>241</v>
      </c>
      <c r="R88" s="3" t="s">
        <v>17</v>
      </c>
      <c r="S88" s="3"/>
      <c r="T88" s="3" t="s">
        <v>606</v>
      </c>
      <c r="U88" s="3" t="str">
        <f t="shared" si="4"/>
        <v>OK</v>
      </c>
      <c r="V88" s="3" t="str">
        <f t="shared" si="5"/>
        <v>OK</v>
      </c>
    </row>
    <row r="89" spans="1:22" x14ac:dyDescent="0.2">
      <c r="A89" s="3" t="s">
        <v>607</v>
      </c>
      <c r="B89" s="3" t="s">
        <v>608</v>
      </c>
      <c r="C89" s="3" t="s">
        <v>22</v>
      </c>
      <c r="D89" s="3" t="s">
        <v>23</v>
      </c>
      <c r="E89" s="3"/>
      <c r="F89" s="3"/>
      <c r="G89" s="3" t="s">
        <v>609</v>
      </c>
      <c r="H89" s="3" t="s">
        <v>175</v>
      </c>
      <c r="I89" s="3"/>
      <c r="J89" s="3"/>
      <c r="K89" s="3"/>
      <c r="L89" s="3"/>
      <c r="M89" s="3"/>
      <c r="N89" s="3" t="s">
        <v>610</v>
      </c>
      <c r="O89" s="3"/>
      <c r="P89" s="3"/>
      <c r="Q89" s="3" t="s">
        <v>611</v>
      </c>
      <c r="R89" s="3" t="s">
        <v>17</v>
      </c>
      <c r="S89" s="3"/>
      <c r="T89" s="3" t="s">
        <v>612</v>
      </c>
      <c r="U89" s="3" t="str">
        <f t="shared" si="4"/>
        <v>OK</v>
      </c>
      <c r="V89" s="3" t="str">
        <f t="shared" si="5"/>
        <v>OK</v>
      </c>
    </row>
    <row r="90" spans="1:22" x14ac:dyDescent="0.2">
      <c r="A90" s="3" t="s">
        <v>613</v>
      </c>
      <c r="B90" s="3" t="s">
        <v>614</v>
      </c>
      <c r="C90" s="3" t="s">
        <v>22</v>
      </c>
      <c r="D90" s="3" t="s">
        <v>74</v>
      </c>
      <c r="E90" s="3" t="s">
        <v>615</v>
      </c>
      <c r="F90" s="3" t="s">
        <v>616</v>
      </c>
      <c r="G90" s="3" t="s">
        <v>617</v>
      </c>
      <c r="H90" s="3" t="s">
        <v>256</v>
      </c>
      <c r="I90" s="3"/>
      <c r="J90" s="3"/>
      <c r="K90" s="3"/>
      <c r="L90" s="3"/>
      <c r="M90" s="3"/>
      <c r="N90" s="3" t="s">
        <v>618</v>
      </c>
      <c r="O90" s="3"/>
      <c r="P90" s="3"/>
      <c r="Q90" s="3" t="s">
        <v>619</v>
      </c>
      <c r="R90" s="3" t="s">
        <v>17</v>
      </c>
      <c r="S90" s="3"/>
      <c r="T90" s="3" t="s">
        <v>620</v>
      </c>
      <c r="U90" s="3" t="str">
        <f t="shared" si="4"/>
        <v>OK</v>
      </c>
      <c r="V90" s="3" t="str">
        <f t="shared" si="5"/>
        <v>OK</v>
      </c>
    </row>
    <row r="91" spans="1:22" x14ac:dyDescent="0.2">
      <c r="A91" s="3" t="s">
        <v>621</v>
      </c>
      <c r="B91" s="3" t="s">
        <v>622</v>
      </c>
      <c r="C91" s="3" t="s">
        <v>22</v>
      </c>
      <c r="D91" s="3" t="s">
        <v>74</v>
      </c>
      <c r="E91" s="3" t="s">
        <v>623</v>
      </c>
      <c r="F91" s="3" t="s">
        <v>624</v>
      </c>
      <c r="G91" s="3" t="s">
        <v>625</v>
      </c>
      <c r="H91" s="3" t="s">
        <v>264</v>
      </c>
      <c r="I91" s="3"/>
      <c r="J91" s="3"/>
      <c r="K91" s="3"/>
      <c r="L91" s="3"/>
      <c r="M91" s="3"/>
      <c r="N91" s="3" t="s">
        <v>626</v>
      </c>
      <c r="O91" s="3"/>
      <c r="P91" s="3"/>
      <c r="Q91" s="3"/>
      <c r="R91" s="3" t="s">
        <v>17</v>
      </c>
      <c r="S91" s="3"/>
      <c r="T91" s="3" t="s">
        <v>627</v>
      </c>
      <c r="U91" s="3" t="str">
        <f t="shared" si="4"/>
        <v>OK</v>
      </c>
      <c r="V91" s="3" t="str">
        <f t="shared" si="5"/>
        <v>OK</v>
      </c>
    </row>
    <row r="92" spans="1:22" x14ac:dyDescent="0.2">
      <c r="A92" s="3" t="s">
        <v>628</v>
      </c>
      <c r="B92" s="3" t="s">
        <v>629</v>
      </c>
      <c r="C92" s="3" t="s">
        <v>22</v>
      </c>
      <c r="D92" s="3" t="s">
        <v>74</v>
      </c>
      <c r="E92" s="3"/>
      <c r="F92" s="3" t="s">
        <v>630</v>
      </c>
      <c r="G92" s="3" t="s">
        <v>631</v>
      </c>
      <c r="H92" s="3" t="s">
        <v>577</v>
      </c>
      <c r="I92" s="3" t="s">
        <v>632</v>
      </c>
      <c r="J92" s="3"/>
      <c r="K92" s="3" t="s">
        <v>352</v>
      </c>
      <c r="L92" s="3" t="s">
        <v>633</v>
      </c>
      <c r="M92" s="3" t="s">
        <v>634</v>
      </c>
      <c r="N92" s="3" t="s">
        <v>635</v>
      </c>
      <c r="O92" s="3" t="s">
        <v>604</v>
      </c>
      <c r="P92" s="3"/>
      <c r="Q92" s="3"/>
      <c r="R92" s="3" t="s">
        <v>17</v>
      </c>
      <c r="S92" s="3"/>
      <c r="T92" s="3" t="s">
        <v>636</v>
      </c>
      <c r="U92" s="3" t="str">
        <f t="shared" si="4"/>
        <v>OK</v>
      </c>
      <c r="V92" s="3" t="str">
        <f t="shared" si="5"/>
        <v>OK</v>
      </c>
    </row>
    <row r="93" spans="1:22" x14ac:dyDescent="0.2">
      <c r="A93" s="3" t="s">
        <v>637</v>
      </c>
      <c r="B93" s="3" t="s">
        <v>638</v>
      </c>
      <c r="C93" s="3" t="s">
        <v>22</v>
      </c>
      <c r="D93" s="3" t="s">
        <v>320</v>
      </c>
      <c r="E93" s="3"/>
      <c r="F93" s="3" t="s">
        <v>639</v>
      </c>
      <c r="G93" s="3"/>
      <c r="H93" s="3" t="s">
        <v>640</v>
      </c>
      <c r="I93" s="3" t="s">
        <v>641</v>
      </c>
      <c r="J93" s="3"/>
      <c r="K93" s="3" t="s">
        <v>360</v>
      </c>
      <c r="L93" s="3"/>
      <c r="M93" s="3"/>
      <c r="N93" s="3" t="s">
        <v>642</v>
      </c>
      <c r="O93" s="3" t="s">
        <v>585</v>
      </c>
      <c r="P93" s="3"/>
      <c r="Q93" s="3" t="s">
        <v>643</v>
      </c>
      <c r="R93" s="3" t="s">
        <v>17</v>
      </c>
      <c r="S93" s="3"/>
      <c r="T93" s="3" t="s">
        <v>644</v>
      </c>
      <c r="U93" s="3" t="str">
        <f t="shared" si="4"/>
        <v>OK</v>
      </c>
      <c r="V93" s="3" t="str">
        <f t="shared" si="5"/>
        <v>OK</v>
      </c>
    </row>
    <row r="94" spans="1:22" x14ac:dyDescent="0.2">
      <c r="A94" s="3" t="s">
        <v>645</v>
      </c>
      <c r="B94" s="3" t="s">
        <v>646</v>
      </c>
      <c r="C94" s="3" t="s">
        <v>22</v>
      </c>
      <c r="D94" s="3" t="s">
        <v>647</v>
      </c>
      <c r="E94" s="3"/>
      <c r="F94" s="3" t="s">
        <v>648</v>
      </c>
      <c r="G94" s="3"/>
      <c r="H94" s="3" t="s">
        <v>649</v>
      </c>
      <c r="I94" s="3" t="s">
        <v>650</v>
      </c>
      <c r="J94" s="3"/>
      <c r="K94" s="3"/>
      <c r="L94" s="3"/>
      <c r="M94" s="3"/>
      <c r="N94" s="3" t="s">
        <v>651</v>
      </c>
      <c r="O94" s="3" t="s">
        <v>652</v>
      </c>
      <c r="P94" s="3"/>
      <c r="Q94" s="3" t="s">
        <v>543</v>
      </c>
      <c r="R94" s="3" t="s">
        <v>17</v>
      </c>
      <c r="S94" s="3" t="s">
        <v>653</v>
      </c>
      <c r="T94" s="3" t="s">
        <v>654</v>
      </c>
      <c r="U94" s="3" t="str">
        <f t="shared" si="4"/>
        <v>OK</v>
      </c>
      <c r="V94" s="3" t="str">
        <f t="shared" si="5"/>
        <v>OK</v>
      </c>
    </row>
    <row r="95" spans="1:22" x14ac:dyDescent="0.2">
      <c r="A95" s="3" t="s">
        <v>655</v>
      </c>
      <c r="B95" s="3" t="s">
        <v>656</v>
      </c>
      <c r="C95" s="3" t="s">
        <v>657</v>
      </c>
      <c r="D95" s="3" t="s">
        <v>658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 t="s">
        <v>659</v>
      </c>
      <c r="T95" s="3"/>
      <c r="U95" s="3" t="str">
        <f t="shared" si="4"/>
        <v>OK</v>
      </c>
      <c r="V95" s="3" t="str">
        <f t="shared" si="5"/>
        <v>OK</v>
      </c>
    </row>
    <row r="96" spans="1:22" x14ac:dyDescent="0.2">
      <c r="A96" s="3" t="s">
        <v>660</v>
      </c>
      <c r="B96" s="3" t="s">
        <v>661</v>
      </c>
      <c r="C96" s="3" t="s">
        <v>22</v>
      </c>
      <c r="D96" s="3" t="s">
        <v>411</v>
      </c>
      <c r="E96" s="3"/>
      <c r="F96" s="3" t="s">
        <v>662</v>
      </c>
      <c r="G96" s="3"/>
      <c r="H96" s="3" t="s">
        <v>562</v>
      </c>
      <c r="I96" s="3" t="s">
        <v>641</v>
      </c>
      <c r="J96" s="3"/>
      <c r="K96" s="3" t="s">
        <v>508</v>
      </c>
      <c r="L96" s="3" t="s">
        <v>27</v>
      </c>
      <c r="M96" s="3"/>
      <c r="N96" s="3" t="s">
        <v>663</v>
      </c>
      <c r="O96" s="3" t="s">
        <v>55</v>
      </c>
      <c r="P96" s="3" t="s">
        <v>664</v>
      </c>
      <c r="Q96" s="3" t="s">
        <v>339</v>
      </c>
      <c r="R96" s="3" t="s">
        <v>17</v>
      </c>
      <c r="S96" s="3"/>
      <c r="T96" s="3" t="s">
        <v>665</v>
      </c>
      <c r="U96" s="3" t="str">
        <f t="shared" si="4"/>
        <v>OK</v>
      </c>
      <c r="V96" s="3" t="str">
        <f t="shared" si="5"/>
        <v>OK</v>
      </c>
    </row>
    <row r="97" spans="1:22" x14ac:dyDescent="0.2">
      <c r="A97" s="3" t="s">
        <v>666</v>
      </c>
      <c r="B97" s="3" t="s">
        <v>667</v>
      </c>
      <c r="C97" s="3" t="s">
        <v>22</v>
      </c>
      <c r="D97" s="3" t="s">
        <v>411</v>
      </c>
      <c r="E97" s="3"/>
      <c r="F97" s="3" t="s">
        <v>668</v>
      </c>
      <c r="G97" s="3" t="s">
        <v>349</v>
      </c>
      <c r="H97" s="3" t="s">
        <v>569</v>
      </c>
      <c r="I97" s="3" t="s">
        <v>669</v>
      </c>
      <c r="J97" s="3"/>
      <c r="K97" s="3" t="s">
        <v>515</v>
      </c>
      <c r="L97" s="3"/>
      <c r="M97" s="3"/>
      <c r="N97" s="3" t="s">
        <v>670</v>
      </c>
      <c r="O97" s="3" t="s">
        <v>66</v>
      </c>
      <c r="P97" s="3" t="s">
        <v>671</v>
      </c>
      <c r="Q97" s="3" t="s">
        <v>329</v>
      </c>
      <c r="R97" s="3" t="s">
        <v>17</v>
      </c>
      <c r="S97" s="3"/>
      <c r="T97" s="3" t="s">
        <v>672</v>
      </c>
      <c r="U97" s="3" t="str">
        <f t="shared" si="4"/>
        <v>OK</v>
      </c>
      <c r="V97" s="3" t="str">
        <f t="shared" si="5"/>
        <v>OK</v>
      </c>
    </row>
    <row r="98" spans="1:22" x14ac:dyDescent="0.2">
      <c r="A98" s="3" t="s">
        <v>673</v>
      </c>
      <c r="B98" s="3" t="s">
        <v>674</v>
      </c>
      <c r="C98" s="3" t="s">
        <v>22</v>
      </c>
      <c r="D98" s="3" t="s">
        <v>23</v>
      </c>
      <c r="E98" s="3"/>
      <c r="F98" s="3" t="s">
        <v>675</v>
      </c>
      <c r="G98" s="3"/>
      <c r="H98" s="3" t="s">
        <v>676</v>
      </c>
      <c r="I98" s="3"/>
      <c r="J98" s="3" t="s">
        <v>677</v>
      </c>
      <c r="K98" s="3"/>
      <c r="L98" s="3"/>
      <c r="M98" s="3"/>
      <c r="N98" s="3" t="s">
        <v>678</v>
      </c>
      <c r="O98" s="3" t="s">
        <v>465</v>
      </c>
      <c r="P98" s="3"/>
      <c r="Q98" s="3"/>
      <c r="R98" s="3" t="s">
        <v>17</v>
      </c>
      <c r="S98" s="3"/>
      <c r="T98" s="3" t="s">
        <v>679</v>
      </c>
      <c r="U98" s="3" t="str">
        <f t="shared" ref="U98:U129" si="6">IF(OR(T98="",T98="-"),IF(_xlfn.TEXTJOIN("",TRUE,E98:R98)="","OK","MISMATCH"),IF((LEN(T98)-LEN(SUBSTITUTE(T98,",",""))+1)=(LEN(_xlfn.TEXTJOIN(",",TRUE,E98:R98))-LEN(SUBSTITUTE(_xlfn.TEXTJOIN(",",TRUE,E98:R98),",",""))+1),"OK","MISMATCH"))</f>
        <v>OK</v>
      </c>
      <c r="V98" s="3" t="str">
        <f t="shared" si="5"/>
        <v>OK</v>
      </c>
    </row>
    <row r="99" spans="1:22" x14ac:dyDescent="0.2">
      <c r="A99" s="3" t="s">
        <v>680</v>
      </c>
      <c r="B99" s="3" t="s">
        <v>681</v>
      </c>
      <c r="C99" s="3" t="s">
        <v>22</v>
      </c>
      <c r="D99" s="3" t="s">
        <v>23</v>
      </c>
      <c r="E99" s="3"/>
      <c r="F99" s="3" t="s">
        <v>682</v>
      </c>
      <c r="G99" s="3"/>
      <c r="H99" s="3" t="s">
        <v>683</v>
      </c>
      <c r="I99" s="3"/>
      <c r="J99" s="3"/>
      <c r="K99" s="3"/>
      <c r="L99" s="3"/>
      <c r="M99" s="3"/>
      <c r="N99" s="3" t="s">
        <v>684</v>
      </c>
      <c r="O99" s="3" t="s">
        <v>476</v>
      </c>
      <c r="P99" s="3"/>
      <c r="Q99" s="3"/>
      <c r="R99" s="3" t="s">
        <v>17</v>
      </c>
      <c r="S99" s="3"/>
      <c r="T99" s="3" t="s">
        <v>685</v>
      </c>
      <c r="U99" s="3" t="str">
        <f t="shared" si="6"/>
        <v>OK</v>
      </c>
      <c r="V99" s="3" t="str">
        <f t="shared" si="5"/>
        <v>OK</v>
      </c>
    </row>
    <row r="100" spans="1:22" x14ac:dyDescent="0.2">
      <c r="A100" s="3" t="s">
        <v>686</v>
      </c>
      <c r="B100" s="3" t="s">
        <v>83</v>
      </c>
      <c r="C100" s="3" t="s">
        <v>71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x14ac:dyDescent="0.2">
      <c r="A101" s="3" t="s">
        <v>687</v>
      </c>
      <c r="B101" s="3" t="s">
        <v>85</v>
      </c>
      <c r="C101" s="3" t="s">
        <v>71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"/>
  <sheetViews>
    <sheetView zoomScale="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S63" sqref="S63"/>
    </sheetView>
  </sheetViews>
  <sheetFormatPr baseColWidth="10" defaultColWidth="12.6640625" defaultRowHeight="14" x14ac:dyDescent="0.2"/>
  <cols>
    <col min="1" max="1" width="8.6640625" style="3" customWidth="1"/>
    <col min="2" max="2" width="17.5" style="3" customWidth="1"/>
    <col min="3" max="3" width="36.6640625" style="3" customWidth="1"/>
    <col min="4" max="4" width="24.6640625" style="3" customWidth="1"/>
    <col min="5" max="5" width="36.6640625" style="3" customWidth="1"/>
    <col min="6" max="6" width="24.6640625" style="3" customWidth="1"/>
    <col min="7" max="7" width="40.6640625" style="3" customWidth="1"/>
    <col min="8" max="8" width="26.6640625" style="3" customWidth="1"/>
    <col min="9" max="9" width="12.6640625" style="3" customWidth="1"/>
    <col min="10" max="10" width="26.6640625" style="3" customWidth="1"/>
    <col min="11" max="11" width="12.6640625" style="3" customWidth="1"/>
    <col min="12" max="16384" width="12.6640625" style="3"/>
  </cols>
  <sheetData>
    <row r="1" spans="1:14" x14ac:dyDescent="0.2">
      <c r="A1" s="6" t="s">
        <v>0</v>
      </c>
      <c r="B1" s="2" t="s">
        <v>1</v>
      </c>
      <c r="C1" s="6" t="s">
        <v>688</v>
      </c>
      <c r="D1" s="6" t="s">
        <v>689</v>
      </c>
      <c r="E1" s="6" t="s">
        <v>690</v>
      </c>
      <c r="F1" s="6" t="s">
        <v>691</v>
      </c>
      <c r="G1" s="6" t="s">
        <v>692</v>
      </c>
      <c r="H1" s="6" t="s">
        <v>693</v>
      </c>
      <c r="I1" s="6" t="s">
        <v>694</v>
      </c>
      <c r="J1" s="6" t="s">
        <v>695</v>
      </c>
      <c r="K1" s="6" t="s">
        <v>696</v>
      </c>
      <c r="L1" s="6" t="s">
        <v>697</v>
      </c>
      <c r="M1" s="6" t="s">
        <v>698</v>
      </c>
      <c r="N1" s="6" t="s">
        <v>699</v>
      </c>
    </row>
    <row r="2" spans="1:14" x14ac:dyDescent="0.2">
      <c r="A2" s="3" t="s">
        <v>20</v>
      </c>
      <c r="B2" s="3" t="s">
        <v>21</v>
      </c>
    </row>
    <row r="3" spans="1:14" x14ac:dyDescent="0.2">
      <c r="A3" s="3" t="s">
        <v>30</v>
      </c>
      <c r="B3" s="3" t="s">
        <v>31</v>
      </c>
      <c r="F3" s="3" t="s">
        <v>33</v>
      </c>
    </row>
    <row r="4" spans="1:14" x14ac:dyDescent="0.2">
      <c r="A4" s="3" t="s">
        <v>37</v>
      </c>
      <c r="B4" s="3" t="s">
        <v>38</v>
      </c>
      <c r="D4" s="3" t="s">
        <v>40</v>
      </c>
    </row>
    <row r="5" spans="1:14" x14ac:dyDescent="0.2">
      <c r="A5" s="3" t="s">
        <v>48</v>
      </c>
      <c r="B5" s="3" t="s">
        <v>49</v>
      </c>
      <c r="C5" s="3" t="s">
        <v>51</v>
      </c>
    </row>
    <row r="6" spans="1:14" x14ac:dyDescent="0.2">
      <c r="A6" s="3" t="s">
        <v>59</v>
      </c>
      <c r="B6" s="3" t="s">
        <v>60</v>
      </c>
      <c r="C6" s="3" t="s">
        <v>700</v>
      </c>
      <c r="F6" s="3" t="s">
        <v>701</v>
      </c>
      <c r="G6" s="3" t="s">
        <v>702</v>
      </c>
    </row>
    <row r="7" spans="1:14" x14ac:dyDescent="0.2">
      <c r="A7" s="3" t="s">
        <v>69</v>
      </c>
      <c r="B7" s="3" t="s">
        <v>70</v>
      </c>
    </row>
    <row r="8" spans="1:14" x14ac:dyDescent="0.2">
      <c r="A8" s="3" t="s">
        <v>72</v>
      </c>
      <c r="B8" s="3" t="s">
        <v>73</v>
      </c>
    </row>
    <row r="9" spans="1:14" x14ac:dyDescent="0.2">
      <c r="A9" s="3" t="s">
        <v>76</v>
      </c>
      <c r="B9" s="3" t="s">
        <v>77</v>
      </c>
    </row>
    <row r="10" spans="1:14" x14ac:dyDescent="0.2">
      <c r="A10" s="3" t="s">
        <v>79</v>
      </c>
      <c r="B10" s="3" t="s">
        <v>80</v>
      </c>
    </row>
    <row r="11" spans="1:14" x14ac:dyDescent="0.2">
      <c r="A11" s="3" t="s">
        <v>82</v>
      </c>
      <c r="B11" s="3" t="s">
        <v>83</v>
      </c>
    </row>
    <row r="12" spans="1:14" x14ac:dyDescent="0.2">
      <c r="A12" s="3" t="s">
        <v>84</v>
      </c>
      <c r="B12" s="3" t="s">
        <v>85</v>
      </c>
    </row>
    <row r="13" spans="1:14" x14ac:dyDescent="0.2">
      <c r="A13" s="3" t="s">
        <v>86</v>
      </c>
      <c r="B13" s="3" t="s">
        <v>87</v>
      </c>
    </row>
    <row r="14" spans="1:14" x14ac:dyDescent="0.2">
      <c r="A14" s="3" t="s">
        <v>90</v>
      </c>
      <c r="B14" s="3" t="s">
        <v>91</v>
      </c>
    </row>
    <row r="15" spans="1:14" x14ac:dyDescent="0.2">
      <c r="A15" s="3" t="s">
        <v>93</v>
      </c>
      <c r="B15" s="3" t="s">
        <v>94</v>
      </c>
    </row>
    <row r="16" spans="1:14" x14ac:dyDescent="0.2">
      <c r="A16" s="3" t="s">
        <v>96</v>
      </c>
      <c r="B16" s="3" t="s">
        <v>97</v>
      </c>
    </row>
    <row r="17" spans="1:9" x14ac:dyDescent="0.2">
      <c r="A17" s="3" t="s">
        <v>106</v>
      </c>
      <c r="B17" s="3" t="s">
        <v>107</v>
      </c>
    </row>
    <row r="18" spans="1:9" x14ac:dyDescent="0.2">
      <c r="A18" s="3" t="s">
        <v>116</v>
      </c>
      <c r="B18" s="3" t="s">
        <v>117</v>
      </c>
    </row>
    <row r="19" spans="1:9" x14ac:dyDescent="0.2">
      <c r="A19" s="3" t="s">
        <v>121</v>
      </c>
      <c r="B19" s="3" t="s">
        <v>122</v>
      </c>
    </row>
    <row r="20" spans="1:9" x14ac:dyDescent="0.2">
      <c r="A20" s="3" t="s">
        <v>124</v>
      </c>
      <c r="B20" s="3" t="s">
        <v>125</v>
      </c>
    </row>
    <row r="21" spans="1:9" x14ac:dyDescent="0.2">
      <c r="A21" s="3" t="s">
        <v>126</v>
      </c>
      <c r="B21" s="3" t="s">
        <v>127</v>
      </c>
    </row>
    <row r="22" spans="1:9" x14ac:dyDescent="0.2">
      <c r="A22" s="3" t="s">
        <v>128</v>
      </c>
      <c r="B22" s="3" t="s">
        <v>129</v>
      </c>
    </row>
    <row r="23" spans="1:9" x14ac:dyDescent="0.2">
      <c r="A23" s="3" t="s">
        <v>130</v>
      </c>
      <c r="B23" s="3" t="s">
        <v>131</v>
      </c>
      <c r="C23" s="3" t="s">
        <v>703</v>
      </c>
      <c r="E23" s="3" t="s">
        <v>704</v>
      </c>
      <c r="F23" s="3" t="s">
        <v>33</v>
      </c>
    </row>
    <row r="24" spans="1:9" x14ac:dyDescent="0.2">
      <c r="A24" s="3" t="s">
        <v>139</v>
      </c>
      <c r="B24" s="3" t="s">
        <v>140</v>
      </c>
      <c r="C24" s="3" t="s">
        <v>705</v>
      </c>
      <c r="D24" s="3" t="s">
        <v>40</v>
      </c>
      <c r="I24" s="3" t="s">
        <v>706</v>
      </c>
    </row>
    <row r="25" spans="1:9" x14ac:dyDescent="0.2">
      <c r="A25" s="3" t="s">
        <v>149</v>
      </c>
      <c r="B25" s="3" t="s">
        <v>150</v>
      </c>
      <c r="C25" s="3" t="s">
        <v>707</v>
      </c>
      <c r="I25" s="3" t="s">
        <v>708</v>
      </c>
    </row>
    <row r="26" spans="1:9" x14ac:dyDescent="0.2">
      <c r="A26" s="3" t="s">
        <v>159</v>
      </c>
      <c r="B26" s="3" t="s">
        <v>160</v>
      </c>
      <c r="C26" s="3" t="s">
        <v>709</v>
      </c>
      <c r="I26" s="3" t="s">
        <v>710</v>
      </c>
    </row>
    <row r="27" spans="1:9" x14ac:dyDescent="0.2">
      <c r="A27" s="3" t="s">
        <v>168</v>
      </c>
      <c r="B27" s="3" t="s">
        <v>83</v>
      </c>
    </row>
    <row r="28" spans="1:9" x14ac:dyDescent="0.2">
      <c r="A28" s="3" t="s">
        <v>169</v>
      </c>
      <c r="B28" s="3" t="s">
        <v>85</v>
      </c>
    </row>
    <row r="29" spans="1:9" x14ac:dyDescent="0.2">
      <c r="A29" s="3" t="s">
        <v>170</v>
      </c>
      <c r="B29" s="3" t="s">
        <v>171</v>
      </c>
      <c r="E29" s="3" t="s">
        <v>173</v>
      </c>
    </row>
    <row r="30" spans="1:9" x14ac:dyDescent="0.2">
      <c r="A30" s="3" t="s">
        <v>181</v>
      </c>
      <c r="B30" s="3" t="s">
        <v>182</v>
      </c>
      <c r="C30" s="3" t="s">
        <v>711</v>
      </c>
      <c r="D30" s="3" t="s">
        <v>712</v>
      </c>
      <c r="E30" s="3" t="s">
        <v>713</v>
      </c>
    </row>
    <row r="31" spans="1:9" x14ac:dyDescent="0.2">
      <c r="A31" s="3" t="s">
        <v>191</v>
      </c>
      <c r="B31" s="3" t="s">
        <v>192</v>
      </c>
      <c r="C31" s="3" t="s">
        <v>714</v>
      </c>
      <c r="F31" s="3" t="s">
        <v>715</v>
      </c>
      <c r="G31" s="3" t="s">
        <v>716</v>
      </c>
    </row>
    <row r="32" spans="1:9" x14ac:dyDescent="0.2">
      <c r="A32" s="3" t="s">
        <v>200</v>
      </c>
      <c r="B32" s="3" t="s">
        <v>201</v>
      </c>
      <c r="C32" s="3" t="s">
        <v>717</v>
      </c>
      <c r="D32" s="3" t="s">
        <v>718</v>
      </c>
    </row>
    <row r="33" spans="1:14" x14ac:dyDescent="0.2">
      <c r="A33" s="3" t="s">
        <v>207</v>
      </c>
      <c r="B33" s="3" t="s">
        <v>208</v>
      </c>
    </row>
    <row r="34" spans="1:14" x14ac:dyDescent="0.2">
      <c r="A34" s="3" t="s">
        <v>216</v>
      </c>
      <c r="B34" s="3" t="s">
        <v>217</v>
      </c>
    </row>
    <row r="35" spans="1:14" x14ac:dyDescent="0.2">
      <c r="A35" s="3" t="s">
        <v>225</v>
      </c>
      <c r="B35" s="3" t="s">
        <v>226</v>
      </c>
      <c r="C35" s="3" t="s">
        <v>719</v>
      </c>
      <c r="D35" s="3" t="s">
        <v>720</v>
      </c>
    </row>
    <row r="36" spans="1:14" x14ac:dyDescent="0.2">
      <c r="A36" s="3" t="s">
        <v>235</v>
      </c>
      <c r="B36" s="3" t="s">
        <v>236</v>
      </c>
      <c r="C36" s="3" t="s">
        <v>721</v>
      </c>
      <c r="D36" s="3" t="s">
        <v>722</v>
      </c>
    </row>
    <row r="37" spans="1:14" x14ac:dyDescent="0.2">
      <c r="A37" s="3" t="s">
        <v>244</v>
      </c>
      <c r="B37" s="3" t="s">
        <v>245</v>
      </c>
    </row>
    <row r="38" spans="1:14" x14ac:dyDescent="0.2">
      <c r="A38" s="3" t="s">
        <v>253</v>
      </c>
      <c r="B38" s="3" t="s">
        <v>254</v>
      </c>
      <c r="E38" s="3" t="s">
        <v>255</v>
      </c>
    </row>
    <row r="39" spans="1:14" x14ac:dyDescent="0.2">
      <c r="A39" s="3" t="s">
        <v>261</v>
      </c>
      <c r="B39" s="3" t="s">
        <v>262</v>
      </c>
      <c r="D39" s="3" t="s">
        <v>263</v>
      </c>
    </row>
    <row r="40" spans="1:14" x14ac:dyDescent="0.2">
      <c r="A40" s="3" t="s">
        <v>269</v>
      </c>
      <c r="B40" s="3" t="s">
        <v>270</v>
      </c>
      <c r="C40" s="3" t="s">
        <v>271</v>
      </c>
    </row>
    <row r="41" spans="1:14" x14ac:dyDescent="0.2">
      <c r="A41" s="3" t="s">
        <v>276</v>
      </c>
      <c r="B41" s="3" t="s">
        <v>277</v>
      </c>
      <c r="D41" s="3" t="s">
        <v>278</v>
      </c>
    </row>
    <row r="42" spans="1:14" x14ac:dyDescent="0.2">
      <c r="A42" s="3" t="s">
        <v>284</v>
      </c>
      <c r="B42" s="3" t="s">
        <v>285</v>
      </c>
      <c r="C42" s="3" t="s">
        <v>286</v>
      </c>
    </row>
    <row r="43" spans="1:14" x14ac:dyDescent="0.2">
      <c r="A43" s="3" t="s">
        <v>292</v>
      </c>
      <c r="B43" s="3" t="s">
        <v>293</v>
      </c>
      <c r="D43" s="3" t="s">
        <v>294</v>
      </c>
    </row>
    <row r="44" spans="1:14" x14ac:dyDescent="0.2">
      <c r="A44" s="3" t="s">
        <v>299</v>
      </c>
      <c r="B44" s="3" t="s">
        <v>300</v>
      </c>
      <c r="C44" s="3" t="s">
        <v>301</v>
      </c>
    </row>
    <row r="45" spans="1:14" x14ac:dyDescent="0.2">
      <c r="A45" s="3" t="s">
        <v>306</v>
      </c>
      <c r="B45" s="3" t="s">
        <v>307</v>
      </c>
      <c r="C45" s="3" t="s">
        <v>308</v>
      </c>
    </row>
    <row r="46" spans="1:14" x14ac:dyDescent="0.2">
      <c r="A46" s="3" t="s">
        <v>312</v>
      </c>
      <c r="B46" s="3" t="s">
        <v>313</v>
      </c>
      <c r="F46" s="3" t="s">
        <v>723</v>
      </c>
      <c r="G46" s="3" t="s">
        <v>724</v>
      </c>
    </row>
    <row r="47" spans="1:14" x14ac:dyDescent="0.2">
      <c r="A47" s="3" t="s">
        <v>318</v>
      </c>
      <c r="B47" s="3" t="s">
        <v>319</v>
      </c>
      <c r="C47" s="3" t="s">
        <v>725</v>
      </c>
      <c r="H47" s="3" t="s">
        <v>726</v>
      </c>
      <c r="N47" s="3" t="s">
        <v>727</v>
      </c>
    </row>
    <row r="48" spans="1:14" x14ac:dyDescent="0.2">
      <c r="A48" s="3" t="s">
        <v>331</v>
      </c>
      <c r="B48" s="3" t="s">
        <v>332</v>
      </c>
      <c r="C48" s="3" t="s">
        <v>728</v>
      </c>
      <c r="J48" s="3" t="s">
        <v>729</v>
      </c>
      <c r="N48" s="3" t="s">
        <v>730</v>
      </c>
    </row>
    <row r="49" spans="1:15" x14ac:dyDescent="0.2">
      <c r="A49" s="3" t="s">
        <v>341</v>
      </c>
      <c r="B49" s="3" t="s">
        <v>342</v>
      </c>
    </row>
    <row r="50" spans="1:15" x14ac:dyDescent="0.2">
      <c r="A50" s="3" t="s">
        <v>343</v>
      </c>
      <c r="B50" s="3" t="s">
        <v>83</v>
      </c>
    </row>
    <row r="51" spans="1:15" x14ac:dyDescent="0.2">
      <c r="A51" s="3" t="s">
        <v>344</v>
      </c>
      <c r="B51" s="3" t="s">
        <v>85</v>
      </c>
    </row>
    <row r="52" spans="1:15" x14ac:dyDescent="0.2">
      <c r="A52" s="3" t="s">
        <v>345</v>
      </c>
      <c r="B52" s="3" t="s">
        <v>346</v>
      </c>
      <c r="F52" s="3" t="s">
        <v>723</v>
      </c>
      <c r="G52" s="3" t="s">
        <v>724</v>
      </c>
      <c r="O52" s="7"/>
    </row>
    <row r="53" spans="1:15" x14ac:dyDescent="0.2">
      <c r="A53" s="3" t="s">
        <v>356</v>
      </c>
      <c r="B53" s="3" t="s">
        <v>357</v>
      </c>
      <c r="D53" s="3" t="s">
        <v>263</v>
      </c>
      <c r="I53" s="3" t="s">
        <v>731</v>
      </c>
      <c r="O53" s="7"/>
    </row>
    <row r="54" spans="1:15" x14ac:dyDescent="0.2">
      <c r="A54" s="3" t="s">
        <v>365</v>
      </c>
      <c r="B54" s="3" t="s">
        <v>366</v>
      </c>
      <c r="C54" s="3" t="s">
        <v>732</v>
      </c>
      <c r="D54" s="3" t="s">
        <v>720</v>
      </c>
      <c r="O54" s="7"/>
    </row>
    <row r="55" spans="1:15" x14ac:dyDescent="0.2">
      <c r="A55" s="3" t="s">
        <v>373</v>
      </c>
      <c r="B55" s="3" t="s">
        <v>374</v>
      </c>
      <c r="C55" s="3" t="s">
        <v>733</v>
      </c>
      <c r="D55" s="3" t="s">
        <v>722</v>
      </c>
      <c r="O55" s="7"/>
    </row>
    <row r="56" spans="1:15" x14ac:dyDescent="0.2">
      <c r="A56" s="3" t="s">
        <v>382</v>
      </c>
      <c r="B56" s="3" t="s">
        <v>383</v>
      </c>
      <c r="O56" s="7"/>
    </row>
    <row r="57" spans="1:15" x14ac:dyDescent="0.2">
      <c r="A57" s="3" t="s">
        <v>388</v>
      </c>
      <c r="B57" s="3" t="s">
        <v>389</v>
      </c>
      <c r="O57" s="7"/>
    </row>
    <row r="58" spans="1:15" x14ac:dyDescent="0.2">
      <c r="A58" s="3" t="s">
        <v>393</v>
      </c>
      <c r="B58" s="3" t="s">
        <v>394</v>
      </c>
      <c r="O58" s="7"/>
    </row>
    <row r="59" spans="1:15" x14ac:dyDescent="0.2">
      <c r="A59" s="3" t="s">
        <v>401</v>
      </c>
      <c r="B59" s="3" t="s">
        <v>402</v>
      </c>
      <c r="H59" s="3" t="s">
        <v>403</v>
      </c>
      <c r="O59" s="7"/>
    </row>
    <row r="60" spans="1:15" x14ac:dyDescent="0.2">
      <c r="A60" s="3" t="s">
        <v>409</v>
      </c>
      <c r="B60" s="3" t="s">
        <v>410</v>
      </c>
      <c r="C60" s="3" t="s">
        <v>734</v>
      </c>
      <c r="H60" s="3" t="s">
        <v>735</v>
      </c>
      <c r="O60" s="7"/>
    </row>
    <row r="61" spans="1:15" x14ac:dyDescent="0.2">
      <c r="A61" s="3" t="s">
        <v>418</v>
      </c>
      <c r="B61" s="3" t="s">
        <v>419</v>
      </c>
      <c r="C61" s="3" t="s">
        <v>736</v>
      </c>
      <c r="I61" s="3" t="s">
        <v>737</v>
      </c>
      <c r="O61" s="7"/>
    </row>
    <row r="62" spans="1:15" x14ac:dyDescent="0.2">
      <c r="A62" s="3" t="s">
        <v>425</v>
      </c>
      <c r="B62" s="3" t="s">
        <v>426</v>
      </c>
      <c r="C62" s="3" t="s">
        <v>427</v>
      </c>
      <c r="O62" s="7"/>
    </row>
    <row r="63" spans="1:15" x14ac:dyDescent="0.2">
      <c r="A63" s="3" t="s">
        <v>432</v>
      </c>
      <c r="B63" s="3" t="s">
        <v>433</v>
      </c>
      <c r="C63" s="3" t="s">
        <v>434</v>
      </c>
      <c r="O63" s="7"/>
    </row>
    <row r="64" spans="1:15" x14ac:dyDescent="0.2">
      <c r="A64" s="3" t="s">
        <v>439</v>
      </c>
      <c r="B64" s="3" t="s">
        <v>440</v>
      </c>
      <c r="C64" s="3" t="s">
        <v>738</v>
      </c>
      <c r="K64" s="3" t="s">
        <v>739</v>
      </c>
      <c r="O64" s="7"/>
    </row>
    <row r="65" spans="1:15" x14ac:dyDescent="0.2">
      <c r="A65" s="3" t="s">
        <v>449</v>
      </c>
      <c r="B65" s="3" t="s">
        <v>450</v>
      </c>
      <c r="C65" s="3" t="s">
        <v>740</v>
      </c>
      <c r="K65" s="3" t="s">
        <v>741</v>
      </c>
      <c r="O65" s="7"/>
    </row>
    <row r="66" spans="1:15" x14ac:dyDescent="0.2">
      <c r="A66" s="3" t="s">
        <v>460</v>
      </c>
      <c r="B66" s="3" t="s">
        <v>461</v>
      </c>
      <c r="C66" s="3" t="s">
        <v>742</v>
      </c>
      <c r="K66" s="3" t="s">
        <v>743</v>
      </c>
      <c r="O66" s="7"/>
    </row>
    <row r="67" spans="1:15" x14ac:dyDescent="0.2">
      <c r="A67" s="3" t="s">
        <v>468</v>
      </c>
      <c r="B67" s="3" t="s">
        <v>469</v>
      </c>
      <c r="C67" s="3" t="s">
        <v>471</v>
      </c>
      <c r="O67" s="7"/>
    </row>
    <row r="68" spans="1:15" x14ac:dyDescent="0.2">
      <c r="A68" s="3" t="s">
        <v>480</v>
      </c>
      <c r="B68" s="3" t="s">
        <v>481</v>
      </c>
      <c r="C68" s="3" t="s">
        <v>271</v>
      </c>
      <c r="F68" s="3" t="s">
        <v>744</v>
      </c>
      <c r="G68" s="3" t="s">
        <v>745</v>
      </c>
      <c r="K68" s="3" t="s">
        <v>746</v>
      </c>
      <c r="O68" s="7"/>
    </row>
    <row r="69" spans="1:15" x14ac:dyDescent="0.2">
      <c r="A69" s="3" t="s">
        <v>490</v>
      </c>
      <c r="B69" s="3" t="s">
        <v>491</v>
      </c>
      <c r="C69" s="3" t="s">
        <v>286</v>
      </c>
      <c r="K69" s="3" t="s">
        <v>747</v>
      </c>
      <c r="O69" s="7"/>
    </row>
    <row r="70" spans="1:15" x14ac:dyDescent="0.2">
      <c r="A70" s="3" t="s">
        <v>497</v>
      </c>
      <c r="B70" s="3" t="s">
        <v>498</v>
      </c>
      <c r="C70" s="3" t="s">
        <v>301</v>
      </c>
      <c r="K70" s="3" t="s">
        <v>748</v>
      </c>
      <c r="O70" s="7"/>
    </row>
    <row r="71" spans="1:15" x14ac:dyDescent="0.2">
      <c r="A71" s="3" t="s">
        <v>504</v>
      </c>
      <c r="B71" s="3" t="s">
        <v>505</v>
      </c>
      <c r="C71" s="3" t="s">
        <v>308</v>
      </c>
      <c r="K71" s="3" t="s">
        <v>749</v>
      </c>
      <c r="O71" s="7"/>
    </row>
    <row r="72" spans="1:15" x14ac:dyDescent="0.2">
      <c r="A72" s="3" t="s">
        <v>511</v>
      </c>
      <c r="B72" s="3" t="s">
        <v>512</v>
      </c>
      <c r="E72" s="3" t="s">
        <v>255</v>
      </c>
      <c r="K72" s="3" t="s">
        <v>750</v>
      </c>
      <c r="O72" s="7"/>
    </row>
    <row r="73" spans="1:15" x14ac:dyDescent="0.2">
      <c r="A73" s="3" t="s">
        <v>518</v>
      </c>
      <c r="B73" s="3" t="s">
        <v>519</v>
      </c>
      <c r="O73" s="7"/>
    </row>
    <row r="74" spans="1:15" x14ac:dyDescent="0.2">
      <c r="A74" s="3" t="s">
        <v>522</v>
      </c>
      <c r="B74" s="3" t="s">
        <v>342</v>
      </c>
      <c r="O74" s="7"/>
    </row>
    <row r="75" spans="1:15" x14ac:dyDescent="0.2">
      <c r="A75" s="3" t="s">
        <v>523</v>
      </c>
      <c r="B75" s="3" t="s">
        <v>83</v>
      </c>
      <c r="O75" s="7"/>
    </row>
    <row r="76" spans="1:15" x14ac:dyDescent="0.2">
      <c r="A76" s="3" t="s">
        <v>524</v>
      </c>
      <c r="B76" s="3" t="s">
        <v>85</v>
      </c>
      <c r="O76" s="7"/>
    </row>
    <row r="77" spans="1:15" x14ac:dyDescent="0.2">
      <c r="A77" s="3" t="s">
        <v>525</v>
      </c>
      <c r="B77" s="3" t="s">
        <v>526</v>
      </c>
      <c r="O77" s="7"/>
    </row>
    <row r="78" spans="1:15" x14ac:dyDescent="0.2">
      <c r="A78" s="3" t="s">
        <v>529</v>
      </c>
      <c r="B78" s="3" t="s">
        <v>530</v>
      </c>
      <c r="C78" s="3" t="s">
        <v>711</v>
      </c>
      <c r="E78" s="3" t="s">
        <v>713</v>
      </c>
      <c r="M78" s="3" t="s">
        <v>751</v>
      </c>
      <c r="O78" s="7"/>
    </row>
    <row r="79" spans="1:15" x14ac:dyDescent="0.2">
      <c r="A79" s="3" t="s">
        <v>536</v>
      </c>
      <c r="B79" s="3" t="s">
        <v>537</v>
      </c>
      <c r="L79" s="3" t="s">
        <v>538</v>
      </c>
      <c r="O79" s="7"/>
    </row>
    <row r="80" spans="1:15" x14ac:dyDescent="0.2">
      <c r="A80" s="3" t="s">
        <v>545</v>
      </c>
      <c r="B80" s="3" t="s">
        <v>546</v>
      </c>
      <c r="M80" s="3" t="s">
        <v>547</v>
      </c>
      <c r="O80" s="7"/>
    </row>
    <row r="81" spans="1:15" x14ac:dyDescent="0.2">
      <c r="A81" s="3" t="s">
        <v>553</v>
      </c>
      <c r="B81" s="3" t="s">
        <v>554</v>
      </c>
      <c r="L81" s="3" t="s">
        <v>555</v>
      </c>
      <c r="O81" s="7"/>
    </row>
    <row r="82" spans="1:15" x14ac:dyDescent="0.2">
      <c r="A82" s="3" t="s">
        <v>560</v>
      </c>
      <c r="B82" s="3" t="s">
        <v>561</v>
      </c>
    </row>
    <row r="83" spans="1:15" x14ac:dyDescent="0.2">
      <c r="A83" s="3" t="s">
        <v>567</v>
      </c>
      <c r="B83" s="3" t="s">
        <v>568</v>
      </c>
    </row>
    <row r="84" spans="1:15" x14ac:dyDescent="0.2">
      <c r="A84" s="3" t="s">
        <v>574</v>
      </c>
      <c r="B84" s="3" t="s">
        <v>575</v>
      </c>
      <c r="E84" s="3" t="s">
        <v>576</v>
      </c>
      <c r="O84" s="7"/>
    </row>
    <row r="85" spans="1:15" x14ac:dyDescent="0.2">
      <c r="A85" s="3" t="s">
        <v>581</v>
      </c>
      <c r="B85" s="3" t="s">
        <v>582</v>
      </c>
      <c r="O85" s="7"/>
    </row>
    <row r="86" spans="1:15" x14ac:dyDescent="0.2">
      <c r="A86" s="3" t="s">
        <v>588</v>
      </c>
      <c r="B86" s="3" t="s">
        <v>589</v>
      </c>
      <c r="M86" s="3" t="s">
        <v>590</v>
      </c>
      <c r="O86" s="7"/>
    </row>
    <row r="87" spans="1:15" x14ac:dyDescent="0.2">
      <c r="A87" s="3" t="s">
        <v>595</v>
      </c>
      <c r="B87" s="3" t="s">
        <v>596</v>
      </c>
      <c r="L87" s="3" t="s">
        <v>597</v>
      </c>
      <c r="O87" s="7"/>
    </row>
    <row r="88" spans="1:15" x14ac:dyDescent="0.2">
      <c r="A88" s="3" t="s">
        <v>600</v>
      </c>
      <c r="B88" s="3" t="s">
        <v>601</v>
      </c>
      <c r="O88" s="7"/>
    </row>
    <row r="89" spans="1:15" x14ac:dyDescent="0.2">
      <c r="A89" s="3" t="s">
        <v>607</v>
      </c>
      <c r="B89" s="3" t="s">
        <v>608</v>
      </c>
      <c r="O89" s="7"/>
    </row>
    <row r="90" spans="1:15" x14ac:dyDescent="0.2">
      <c r="A90" s="3" t="s">
        <v>613</v>
      </c>
      <c r="B90" s="3" t="s">
        <v>614</v>
      </c>
      <c r="C90" s="3" t="s">
        <v>752</v>
      </c>
      <c r="M90" s="3" t="s">
        <v>753</v>
      </c>
      <c r="O90" s="7"/>
    </row>
    <row r="91" spans="1:15" x14ac:dyDescent="0.2">
      <c r="A91" s="3" t="s">
        <v>621</v>
      </c>
      <c r="B91" s="3" t="s">
        <v>622</v>
      </c>
      <c r="C91" s="3" t="s">
        <v>754</v>
      </c>
      <c r="F91" s="3" t="s">
        <v>755</v>
      </c>
      <c r="L91" s="3" t="s">
        <v>756</v>
      </c>
      <c r="O91" s="7"/>
    </row>
    <row r="92" spans="1:15" x14ac:dyDescent="0.2">
      <c r="A92" s="3" t="s">
        <v>628</v>
      </c>
      <c r="B92" s="3" t="s">
        <v>629</v>
      </c>
      <c r="C92" s="3" t="s">
        <v>757</v>
      </c>
      <c r="F92" s="3" t="s">
        <v>758</v>
      </c>
      <c r="L92" s="3" t="s">
        <v>759</v>
      </c>
      <c r="O92" s="7"/>
    </row>
    <row r="93" spans="1:15" x14ac:dyDescent="0.2">
      <c r="A93" s="3" t="s">
        <v>637</v>
      </c>
      <c r="B93" s="3" t="s">
        <v>638</v>
      </c>
      <c r="C93" s="3" t="s">
        <v>734</v>
      </c>
      <c r="D93" s="3" t="s">
        <v>760</v>
      </c>
      <c r="L93" s="3" t="s">
        <v>761</v>
      </c>
      <c r="O93" s="7"/>
    </row>
    <row r="94" spans="1:15" x14ac:dyDescent="0.2">
      <c r="A94" s="3" t="s">
        <v>645</v>
      </c>
      <c r="B94" s="3" t="s">
        <v>646</v>
      </c>
      <c r="C94" s="3" t="s">
        <v>736</v>
      </c>
      <c r="D94" s="3" t="s">
        <v>762</v>
      </c>
      <c r="L94" s="3" t="s">
        <v>763</v>
      </c>
      <c r="O94" s="7"/>
    </row>
    <row r="95" spans="1:15" x14ac:dyDescent="0.2">
      <c r="A95" s="3" t="s">
        <v>655</v>
      </c>
      <c r="B95" s="3" t="s">
        <v>656</v>
      </c>
      <c r="O95" s="7"/>
    </row>
    <row r="96" spans="1:15" x14ac:dyDescent="0.2">
      <c r="A96" s="3" t="s">
        <v>660</v>
      </c>
      <c r="B96" s="3" t="s">
        <v>661</v>
      </c>
      <c r="C96" s="3" t="s">
        <v>662</v>
      </c>
      <c r="O96" s="7"/>
    </row>
    <row r="97" spans="1:15" x14ac:dyDescent="0.2">
      <c r="A97" s="3" t="s">
        <v>666</v>
      </c>
      <c r="B97" s="3" t="s">
        <v>667</v>
      </c>
      <c r="C97" s="3" t="s">
        <v>668</v>
      </c>
      <c r="O97" s="7"/>
    </row>
    <row r="98" spans="1:15" x14ac:dyDescent="0.2">
      <c r="A98" s="3" t="s">
        <v>673</v>
      </c>
      <c r="B98" s="3" t="s">
        <v>674</v>
      </c>
      <c r="E98" s="3" t="s">
        <v>764</v>
      </c>
      <c r="J98" s="3" t="s">
        <v>765</v>
      </c>
      <c r="N98" s="3" t="s">
        <v>730</v>
      </c>
    </row>
    <row r="99" spans="1:15" x14ac:dyDescent="0.2">
      <c r="A99" s="3" t="s">
        <v>680</v>
      </c>
      <c r="B99" s="3" t="s">
        <v>681</v>
      </c>
      <c r="H99" s="3" t="s">
        <v>766</v>
      </c>
      <c r="N99" s="3" t="s">
        <v>727</v>
      </c>
    </row>
    <row r="100" spans="1:15" x14ac:dyDescent="0.2">
      <c r="A100" s="3" t="s">
        <v>686</v>
      </c>
      <c r="B100" s="3" t="s">
        <v>83</v>
      </c>
    </row>
    <row r="101" spans="1:15" x14ac:dyDescent="0.2">
      <c r="A101" s="3" t="s">
        <v>687</v>
      </c>
      <c r="B101" s="3" t="s">
        <v>85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84" sqref="D84"/>
    </sheetView>
  </sheetViews>
  <sheetFormatPr baseColWidth="10" defaultColWidth="9.1640625" defaultRowHeight="14" x14ac:dyDescent="0.2"/>
  <cols>
    <col min="1" max="1" width="8.6640625" style="7" customWidth="1"/>
    <col min="2" max="2" width="17.5" style="7" customWidth="1"/>
    <col min="3" max="3" width="49.6640625" style="7" customWidth="1"/>
    <col min="4" max="4" width="33.33203125" style="7" customWidth="1"/>
    <col min="5" max="5" width="38.83203125" style="7" customWidth="1"/>
    <col min="6" max="6" width="34.33203125" style="7" customWidth="1"/>
    <col min="7" max="7" width="28.83203125" style="7" bestFit="1" customWidth="1"/>
    <col min="8" max="8" width="35" style="7" customWidth="1"/>
    <col min="9" max="16384" width="9.1640625" style="7"/>
  </cols>
  <sheetData>
    <row r="1" spans="1:8" x14ac:dyDescent="0.2">
      <c r="A1" s="8" t="s">
        <v>0</v>
      </c>
      <c r="B1" s="2" t="s">
        <v>1</v>
      </c>
      <c r="C1" s="2" t="s">
        <v>767</v>
      </c>
      <c r="D1" s="2" t="s">
        <v>768</v>
      </c>
      <c r="E1" s="2" t="s">
        <v>769</v>
      </c>
      <c r="F1" s="2" t="s">
        <v>770</v>
      </c>
      <c r="G1" s="2" t="s">
        <v>771</v>
      </c>
      <c r="H1" s="2" t="s">
        <v>8</v>
      </c>
    </row>
    <row r="2" spans="1:8" s="13" customFormat="1" x14ac:dyDescent="0.2">
      <c r="A2" s="11">
        <v>1</v>
      </c>
      <c r="B2" s="12" t="s">
        <v>21</v>
      </c>
      <c r="C2" s="12" t="s">
        <v>25</v>
      </c>
      <c r="D2" s="12"/>
      <c r="E2" s="12"/>
      <c r="F2" s="12"/>
      <c r="G2" s="12"/>
      <c r="H2" s="12"/>
    </row>
    <row r="3" spans="1:8" s="13" customFormat="1" x14ac:dyDescent="0.2">
      <c r="A3" s="11">
        <v>2</v>
      </c>
      <c r="B3" s="12" t="s">
        <v>31</v>
      </c>
      <c r="C3" s="12"/>
      <c r="D3" s="12"/>
      <c r="E3" s="12"/>
      <c r="F3" s="12"/>
      <c r="G3" s="12"/>
      <c r="H3" s="12"/>
    </row>
    <row r="4" spans="1:8" s="13" customFormat="1" x14ac:dyDescent="0.2">
      <c r="A4" s="11">
        <v>3</v>
      </c>
      <c r="B4" s="12" t="s">
        <v>38</v>
      </c>
      <c r="C4" s="12" t="s">
        <v>41</v>
      </c>
      <c r="D4" s="12"/>
      <c r="E4" s="12"/>
      <c r="F4" s="12"/>
      <c r="G4" s="12"/>
      <c r="H4" s="12"/>
    </row>
    <row r="5" spans="1:8" s="13" customFormat="1" x14ac:dyDescent="0.2">
      <c r="A5" s="11">
        <v>4</v>
      </c>
      <c r="B5" s="12" t="s">
        <v>49</v>
      </c>
      <c r="C5" s="12" t="s">
        <v>52</v>
      </c>
      <c r="D5" s="12"/>
      <c r="E5" s="12"/>
      <c r="F5" s="12"/>
      <c r="G5" s="12"/>
      <c r="H5" s="12"/>
    </row>
    <row r="6" spans="1:8" s="13" customFormat="1" x14ac:dyDescent="0.2">
      <c r="A6" s="11">
        <v>5</v>
      </c>
      <c r="B6" s="12" t="s">
        <v>60</v>
      </c>
      <c r="C6" s="12" t="s">
        <v>63</v>
      </c>
      <c r="D6" s="12"/>
      <c r="E6" s="12"/>
      <c r="F6" s="12"/>
      <c r="G6" s="12"/>
      <c r="H6" s="12"/>
    </row>
    <row r="7" spans="1:8" s="13" customFormat="1" x14ac:dyDescent="0.2">
      <c r="A7" s="11">
        <v>6</v>
      </c>
      <c r="B7" s="12" t="s">
        <v>70</v>
      </c>
      <c r="C7" s="12"/>
      <c r="D7" s="12"/>
      <c r="E7" s="12"/>
      <c r="F7" s="12"/>
      <c r="G7" s="12"/>
      <c r="H7" s="12"/>
    </row>
    <row r="8" spans="1:8" s="13" customFormat="1" x14ac:dyDescent="0.2">
      <c r="A8" s="11">
        <v>7</v>
      </c>
      <c r="B8" s="12" t="s">
        <v>73</v>
      </c>
      <c r="C8" s="12"/>
      <c r="D8" s="12"/>
      <c r="E8" s="12"/>
      <c r="F8" s="12"/>
      <c r="G8" s="12"/>
      <c r="H8" s="12"/>
    </row>
    <row r="9" spans="1:8" s="13" customFormat="1" x14ac:dyDescent="0.2">
      <c r="A9" s="11">
        <v>8</v>
      </c>
      <c r="B9" s="12" t="s">
        <v>77</v>
      </c>
      <c r="C9" s="12"/>
      <c r="D9" s="12"/>
      <c r="E9" s="12"/>
      <c r="F9" s="12"/>
      <c r="G9" s="12"/>
      <c r="H9" s="12"/>
    </row>
    <row r="10" spans="1:8" s="13" customFormat="1" x14ac:dyDescent="0.2">
      <c r="A10" s="11">
        <v>9</v>
      </c>
      <c r="B10" s="12" t="s">
        <v>80</v>
      </c>
      <c r="C10" s="12"/>
      <c r="D10" s="12"/>
      <c r="E10" s="12"/>
      <c r="F10" s="12"/>
      <c r="G10" s="12"/>
      <c r="H10" s="12"/>
    </row>
    <row r="11" spans="1:8" s="13" customFormat="1" x14ac:dyDescent="0.2">
      <c r="A11" s="11">
        <v>10</v>
      </c>
      <c r="B11" s="12" t="s">
        <v>83</v>
      </c>
      <c r="C11" s="12"/>
      <c r="D11" s="12"/>
      <c r="E11" s="12"/>
      <c r="F11" s="12"/>
      <c r="G11" s="12"/>
      <c r="H11" s="12"/>
    </row>
    <row r="12" spans="1:8" s="13" customFormat="1" x14ac:dyDescent="0.2">
      <c r="A12" s="11">
        <v>11</v>
      </c>
      <c r="B12" s="12" t="s">
        <v>85</v>
      </c>
      <c r="C12" s="12"/>
      <c r="D12" s="12"/>
      <c r="E12" s="12"/>
      <c r="F12" s="12"/>
      <c r="G12" s="12"/>
      <c r="H12" s="12"/>
    </row>
    <row r="13" spans="1:8" s="13" customFormat="1" x14ac:dyDescent="0.2">
      <c r="A13" s="11">
        <v>12</v>
      </c>
      <c r="B13" s="12" t="s">
        <v>87</v>
      </c>
      <c r="C13" s="12"/>
      <c r="D13" s="12"/>
      <c r="E13" s="12"/>
      <c r="F13" s="12"/>
      <c r="G13" s="12"/>
      <c r="H13" s="12"/>
    </row>
    <row r="14" spans="1:8" s="13" customFormat="1" x14ac:dyDescent="0.2">
      <c r="A14" s="11">
        <v>13</v>
      </c>
      <c r="B14" s="12" t="s">
        <v>91</v>
      </c>
      <c r="C14" s="12"/>
      <c r="D14" s="12"/>
      <c r="E14" s="12"/>
      <c r="F14" s="12"/>
      <c r="G14" s="12"/>
      <c r="H14" s="12"/>
    </row>
    <row r="15" spans="1:8" s="13" customFormat="1" x14ac:dyDescent="0.2">
      <c r="A15" s="11">
        <v>14</v>
      </c>
      <c r="B15" s="12" t="s">
        <v>94</v>
      </c>
      <c r="C15" s="12"/>
      <c r="D15" s="12"/>
      <c r="E15" s="12"/>
      <c r="F15" s="12"/>
      <c r="G15" s="12"/>
      <c r="H15" s="12"/>
    </row>
    <row r="16" spans="1:8" s="13" customFormat="1" x14ac:dyDescent="0.2">
      <c r="A16" s="11">
        <v>15</v>
      </c>
      <c r="B16" s="12" t="s">
        <v>97</v>
      </c>
      <c r="C16" s="12"/>
      <c r="D16" s="12"/>
      <c r="E16" s="12"/>
      <c r="F16" s="12"/>
      <c r="G16" s="12"/>
      <c r="H16" s="12"/>
    </row>
    <row r="17" spans="1:8" s="13" customFormat="1" x14ac:dyDescent="0.2">
      <c r="A17" s="11">
        <v>16</v>
      </c>
      <c r="B17" s="12" t="s">
        <v>107</v>
      </c>
      <c r="C17" s="12" t="s">
        <v>772</v>
      </c>
      <c r="D17" s="12" t="s">
        <v>773</v>
      </c>
      <c r="E17" s="12"/>
      <c r="F17" s="12"/>
      <c r="G17" s="12"/>
      <c r="H17" s="12"/>
    </row>
    <row r="18" spans="1:8" s="13" customFormat="1" x14ac:dyDescent="0.2">
      <c r="A18" s="14" t="s">
        <v>116</v>
      </c>
      <c r="B18" s="12" t="s">
        <v>117</v>
      </c>
      <c r="C18" s="12"/>
      <c r="D18" s="12"/>
      <c r="E18" s="12"/>
      <c r="F18" s="12"/>
      <c r="G18" s="12"/>
      <c r="H18" s="12"/>
    </row>
    <row r="19" spans="1:8" s="13" customFormat="1" x14ac:dyDescent="0.2">
      <c r="A19" s="14" t="s">
        <v>121</v>
      </c>
      <c r="B19" s="12" t="s">
        <v>122</v>
      </c>
      <c r="C19" s="12"/>
      <c r="D19" s="12"/>
      <c r="E19" s="12"/>
      <c r="F19" s="12"/>
      <c r="G19" s="12"/>
      <c r="H19" s="12"/>
    </row>
    <row r="20" spans="1:8" s="13" customFormat="1" x14ac:dyDescent="0.2">
      <c r="A20" s="11">
        <v>19</v>
      </c>
      <c r="B20" s="12" t="s">
        <v>125</v>
      </c>
      <c r="C20" s="12"/>
      <c r="D20" s="12"/>
      <c r="E20" s="12"/>
      <c r="F20" s="12"/>
      <c r="G20" s="12"/>
      <c r="H20" s="12"/>
    </row>
    <row r="21" spans="1:8" s="13" customFormat="1" x14ac:dyDescent="0.2">
      <c r="A21" s="11">
        <v>20</v>
      </c>
      <c r="B21" s="12" t="s">
        <v>127</v>
      </c>
      <c r="C21" s="12"/>
      <c r="D21" s="12"/>
      <c r="E21" s="12"/>
      <c r="F21" s="12"/>
      <c r="G21" s="12"/>
      <c r="H21" s="12"/>
    </row>
    <row r="22" spans="1:8" s="13" customFormat="1" x14ac:dyDescent="0.2">
      <c r="A22" s="11">
        <v>21</v>
      </c>
      <c r="B22" s="12" t="s">
        <v>129</v>
      </c>
      <c r="C22" s="12"/>
      <c r="D22" s="12"/>
      <c r="E22" s="12"/>
      <c r="F22" s="12"/>
      <c r="G22" s="12"/>
      <c r="H22" s="12"/>
    </row>
    <row r="23" spans="1:8" s="13" customFormat="1" x14ac:dyDescent="0.2">
      <c r="A23" s="11">
        <v>22</v>
      </c>
      <c r="B23" s="12" t="s">
        <v>131</v>
      </c>
      <c r="C23" s="12"/>
      <c r="D23" s="12"/>
      <c r="E23" s="12" t="s">
        <v>774</v>
      </c>
      <c r="F23" s="12" t="s">
        <v>569</v>
      </c>
      <c r="G23" s="12"/>
      <c r="H23" s="12"/>
    </row>
    <row r="24" spans="1:8" s="13" customFormat="1" x14ac:dyDescent="0.2">
      <c r="A24" s="11">
        <v>23</v>
      </c>
      <c r="B24" s="12" t="s">
        <v>140</v>
      </c>
      <c r="C24" s="12"/>
      <c r="D24" s="12"/>
      <c r="E24" s="12" t="s">
        <v>775</v>
      </c>
      <c r="F24" s="12" t="s">
        <v>562</v>
      </c>
      <c r="G24" s="12"/>
      <c r="H24" s="12"/>
    </row>
    <row r="25" spans="1:8" s="13" customFormat="1" x14ac:dyDescent="0.2">
      <c r="A25" s="11">
        <v>24</v>
      </c>
      <c r="B25" s="12" t="s">
        <v>150</v>
      </c>
      <c r="C25" s="12"/>
      <c r="D25" s="12"/>
      <c r="E25" s="12" t="s">
        <v>152</v>
      </c>
      <c r="F25" s="12"/>
      <c r="G25" s="12"/>
      <c r="H25" s="12"/>
    </row>
    <row r="26" spans="1:8" s="13" customFormat="1" x14ac:dyDescent="0.2">
      <c r="A26" s="11">
        <v>25</v>
      </c>
      <c r="B26" s="12" t="s">
        <v>160</v>
      </c>
      <c r="C26" s="12"/>
      <c r="D26" s="12"/>
      <c r="E26" s="12" t="s">
        <v>162</v>
      </c>
      <c r="F26" s="12"/>
      <c r="G26" s="12"/>
      <c r="H26" s="12"/>
    </row>
    <row r="27" spans="1:8" x14ac:dyDescent="0.2">
      <c r="A27" s="10">
        <v>26</v>
      </c>
      <c r="B27" s="3" t="s">
        <v>83</v>
      </c>
      <c r="C27" s="3"/>
      <c r="D27" s="3"/>
      <c r="E27" s="3"/>
      <c r="F27" s="3"/>
      <c r="G27" s="3"/>
      <c r="H27" s="3"/>
    </row>
    <row r="28" spans="1:8" x14ac:dyDescent="0.2">
      <c r="A28" s="10">
        <v>27</v>
      </c>
      <c r="B28" s="3" t="s">
        <v>85</v>
      </c>
      <c r="C28" s="3"/>
      <c r="D28" s="3"/>
      <c r="E28" s="3"/>
      <c r="F28" s="3"/>
      <c r="G28" s="3"/>
      <c r="H28" s="3"/>
    </row>
    <row r="29" spans="1:8" x14ac:dyDescent="0.2">
      <c r="A29" s="10">
        <v>28</v>
      </c>
      <c r="B29" s="3" t="s">
        <v>171</v>
      </c>
      <c r="C29" s="3" t="s">
        <v>776</v>
      </c>
      <c r="D29" s="3" t="s">
        <v>777</v>
      </c>
      <c r="E29" s="3" t="s">
        <v>175</v>
      </c>
      <c r="F29" s="3"/>
      <c r="G29" s="3"/>
      <c r="H29" s="3"/>
    </row>
    <row r="30" spans="1:8" x14ac:dyDescent="0.2">
      <c r="A30" s="10">
        <v>29</v>
      </c>
      <c r="B30" s="3" t="s">
        <v>182</v>
      </c>
      <c r="C30" s="3" t="s">
        <v>778</v>
      </c>
      <c r="D30" s="3" t="s">
        <v>779</v>
      </c>
      <c r="E30" s="3"/>
      <c r="F30" s="3"/>
      <c r="G30" s="3"/>
      <c r="H30" s="3"/>
    </row>
    <row r="31" spans="1:8" x14ac:dyDescent="0.2">
      <c r="A31" s="10">
        <v>30</v>
      </c>
      <c r="B31" s="3" t="s">
        <v>192</v>
      </c>
      <c r="C31" s="3" t="s">
        <v>780</v>
      </c>
      <c r="D31" s="3" t="s">
        <v>781</v>
      </c>
      <c r="E31" s="3"/>
      <c r="F31" s="3"/>
      <c r="G31" s="3"/>
      <c r="H31" s="3"/>
    </row>
    <row r="32" spans="1:8" x14ac:dyDescent="0.2">
      <c r="A32" s="10">
        <v>31</v>
      </c>
      <c r="B32" s="3" t="s">
        <v>201</v>
      </c>
      <c r="C32" s="3" t="s">
        <v>782</v>
      </c>
      <c r="D32" s="3" t="s">
        <v>783</v>
      </c>
      <c r="E32" s="3"/>
      <c r="F32" s="3"/>
      <c r="G32" s="3"/>
      <c r="H32" s="3"/>
    </row>
    <row r="33" spans="1:8" x14ac:dyDescent="0.2">
      <c r="A33" s="10">
        <v>32</v>
      </c>
      <c r="B33" s="3" t="s">
        <v>208</v>
      </c>
      <c r="D33" s="3" t="s">
        <v>210</v>
      </c>
      <c r="E33" s="3"/>
      <c r="F33" s="3"/>
      <c r="G33" s="3"/>
      <c r="H33" s="3"/>
    </row>
    <row r="34" spans="1:8" x14ac:dyDescent="0.2">
      <c r="A34" s="10">
        <v>33</v>
      </c>
      <c r="B34" s="3" t="s">
        <v>217</v>
      </c>
      <c r="C34" s="3"/>
      <c r="D34" s="3"/>
      <c r="E34" s="3"/>
      <c r="F34" s="3"/>
      <c r="G34" s="3"/>
      <c r="H34" s="3"/>
    </row>
    <row r="35" spans="1:8" x14ac:dyDescent="0.2">
      <c r="A35" s="10">
        <v>34</v>
      </c>
      <c r="B35" s="3" t="s">
        <v>226</v>
      </c>
      <c r="C35" s="3"/>
      <c r="D35" s="3"/>
      <c r="F35" s="3" t="s">
        <v>228</v>
      </c>
      <c r="G35" s="3"/>
      <c r="H35" s="3"/>
    </row>
    <row r="36" spans="1:8" x14ac:dyDescent="0.2">
      <c r="A36" s="10">
        <v>35</v>
      </c>
      <c r="B36" s="3" t="s">
        <v>236</v>
      </c>
      <c r="C36" s="3"/>
      <c r="D36" s="3"/>
      <c r="F36" s="3"/>
      <c r="G36" s="3"/>
      <c r="H36" s="3"/>
    </row>
    <row r="37" spans="1:8" x14ac:dyDescent="0.2">
      <c r="A37" s="10">
        <v>36</v>
      </c>
      <c r="B37" s="3" t="s">
        <v>245</v>
      </c>
      <c r="C37" s="3" t="s">
        <v>784</v>
      </c>
      <c r="D37" s="3" t="s">
        <v>785</v>
      </c>
      <c r="F37" s="3"/>
      <c r="G37" s="3"/>
      <c r="H37" s="3"/>
    </row>
    <row r="38" spans="1:8" x14ac:dyDescent="0.2">
      <c r="A38" s="10">
        <v>37</v>
      </c>
      <c r="B38" s="3" t="s">
        <v>254</v>
      </c>
      <c r="C38" s="3"/>
      <c r="D38" s="3"/>
      <c r="F38" s="3" t="s">
        <v>256</v>
      </c>
      <c r="G38" s="3"/>
      <c r="H38" s="3"/>
    </row>
    <row r="39" spans="1:8" x14ac:dyDescent="0.2">
      <c r="A39" s="10">
        <v>38</v>
      </c>
      <c r="B39" s="3" t="s">
        <v>262</v>
      </c>
      <c r="C39" s="3"/>
      <c r="D39" s="3"/>
      <c r="F39" s="3" t="s">
        <v>264</v>
      </c>
      <c r="G39" s="3"/>
      <c r="H39" s="3"/>
    </row>
    <row r="40" spans="1:8" x14ac:dyDescent="0.2">
      <c r="A40" s="10">
        <v>39</v>
      </c>
      <c r="B40" s="3" t="s">
        <v>270</v>
      </c>
      <c r="C40" s="3"/>
      <c r="D40" s="3"/>
      <c r="F40" s="3" t="s">
        <v>272</v>
      </c>
      <c r="G40" s="3"/>
      <c r="H40" s="3"/>
    </row>
    <row r="41" spans="1:8" x14ac:dyDescent="0.2">
      <c r="A41" s="10">
        <v>40</v>
      </c>
      <c r="B41" s="3" t="s">
        <v>277</v>
      </c>
      <c r="C41" s="3"/>
      <c r="D41" s="3"/>
      <c r="F41" s="3" t="s">
        <v>279</v>
      </c>
      <c r="G41" s="3"/>
      <c r="H41" s="3"/>
    </row>
    <row r="42" spans="1:8" x14ac:dyDescent="0.2">
      <c r="A42" s="10">
        <v>41</v>
      </c>
      <c r="B42" s="3" t="s">
        <v>285</v>
      </c>
      <c r="C42" s="3" t="s">
        <v>41</v>
      </c>
      <c r="D42" s="3"/>
      <c r="E42" s="3"/>
      <c r="F42" s="3"/>
      <c r="G42" s="3"/>
      <c r="H42" s="3"/>
    </row>
    <row r="43" spans="1:8" x14ac:dyDescent="0.2">
      <c r="A43" s="10">
        <v>42</v>
      </c>
      <c r="B43" s="3" t="s">
        <v>293</v>
      </c>
      <c r="C43" s="3" t="s">
        <v>25</v>
      </c>
      <c r="D43" s="3"/>
      <c r="E43" s="3"/>
      <c r="F43" s="3"/>
      <c r="G43" s="3"/>
      <c r="H43" s="3"/>
    </row>
    <row r="44" spans="1:8" x14ac:dyDescent="0.2">
      <c r="A44" s="10">
        <v>43</v>
      </c>
      <c r="B44" s="3" t="s">
        <v>300</v>
      </c>
      <c r="C44" s="3" t="s">
        <v>52</v>
      </c>
      <c r="D44" s="3"/>
      <c r="E44" s="3"/>
      <c r="F44" s="3"/>
      <c r="G44" s="3"/>
      <c r="H44" s="3"/>
    </row>
    <row r="45" spans="1:8" x14ac:dyDescent="0.2">
      <c r="A45" s="10">
        <v>44</v>
      </c>
      <c r="B45" s="3" t="s">
        <v>307</v>
      </c>
      <c r="C45" s="3" t="s">
        <v>63</v>
      </c>
      <c r="D45" s="3"/>
      <c r="E45" s="3"/>
      <c r="F45" s="3"/>
      <c r="G45" s="3"/>
      <c r="H45" s="3"/>
    </row>
    <row r="46" spans="1:8" x14ac:dyDescent="0.2">
      <c r="A46" s="10">
        <v>45</v>
      </c>
      <c r="B46" s="3" t="s">
        <v>313</v>
      </c>
      <c r="C46" s="3"/>
      <c r="D46" s="3"/>
      <c r="E46" s="3"/>
      <c r="F46" s="3"/>
      <c r="G46" s="3"/>
      <c r="H46" s="3"/>
    </row>
    <row r="47" spans="1:8" x14ac:dyDescent="0.2">
      <c r="A47" s="10">
        <v>46</v>
      </c>
      <c r="B47" s="3" t="s">
        <v>319</v>
      </c>
      <c r="C47" s="3" t="s">
        <v>786</v>
      </c>
      <c r="D47" s="3" t="s">
        <v>787</v>
      </c>
      <c r="E47" s="3" t="s">
        <v>323</v>
      </c>
      <c r="F47" s="3"/>
      <c r="G47" s="3"/>
      <c r="H47" s="3" t="s">
        <v>324</v>
      </c>
    </row>
    <row r="48" spans="1:8" x14ac:dyDescent="0.2">
      <c r="A48" s="10">
        <v>47</v>
      </c>
      <c r="B48" s="3" t="s">
        <v>332</v>
      </c>
      <c r="C48" s="3"/>
      <c r="D48" s="3"/>
      <c r="E48" s="3" t="s">
        <v>334</v>
      </c>
      <c r="F48" s="3"/>
      <c r="G48" s="3"/>
      <c r="H48" s="3" t="s">
        <v>335</v>
      </c>
    </row>
    <row r="49" spans="1:8" x14ac:dyDescent="0.2">
      <c r="A49" s="10">
        <v>48</v>
      </c>
      <c r="B49" s="3" t="s">
        <v>342</v>
      </c>
      <c r="C49" s="3"/>
      <c r="D49" s="3"/>
      <c r="E49" s="3"/>
      <c r="F49" s="3"/>
      <c r="G49" s="3"/>
      <c r="H49" s="3"/>
    </row>
    <row r="50" spans="1:8" x14ac:dyDescent="0.2">
      <c r="A50" s="10">
        <v>49</v>
      </c>
      <c r="B50" s="3" t="s">
        <v>83</v>
      </c>
      <c r="C50" s="3"/>
      <c r="D50" s="3"/>
      <c r="E50" s="3"/>
      <c r="F50" s="3"/>
      <c r="G50" s="3"/>
      <c r="H50" s="3"/>
    </row>
    <row r="51" spans="1:8" x14ac:dyDescent="0.2">
      <c r="A51" s="10">
        <v>50</v>
      </c>
      <c r="B51" s="3" t="s">
        <v>85</v>
      </c>
      <c r="C51" s="3"/>
      <c r="D51" s="3"/>
      <c r="E51" s="3"/>
      <c r="F51" s="3"/>
      <c r="G51" s="3"/>
      <c r="H51" s="3"/>
    </row>
    <row r="52" spans="1:8" s="13" customFormat="1" x14ac:dyDescent="0.2">
      <c r="A52" s="11">
        <v>51</v>
      </c>
      <c r="B52" s="12" t="s">
        <v>346</v>
      </c>
      <c r="C52" s="12" t="s">
        <v>788</v>
      </c>
      <c r="D52" s="12" t="s">
        <v>789</v>
      </c>
      <c r="E52" s="12" t="s">
        <v>396</v>
      </c>
      <c r="F52" s="12" t="s">
        <v>577</v>
      </c>
      <c r="G52" s="12"/>
      <c r="H52" s="12" t="s">
        <v>351</v>
      </c>
    </row>
    <row r="53" spans="1:8" s="13" customFormat="1" x14ac:dyDescent="0.2">
      <c r="A53" s="11">
        <v>52</v>
      </c>
      <c r="B53" s="12" t="s">
        <v>357</v>
      </c>
      <c r="C53" s="12" t="s">
        <v>786</v>
      </c>
      <c r="D53" s="12" t="s">
        <v>787</v>
      </c>
      <c r="E53" s="12" t="s">
        <v>404</v>
      </c>
      <c r="F53" s="12" t="s">
        <v>790</v>
      </c>
      <c r="G53" s="12"/>
      <c r="H53" s="12"/>
    </row>
    <row r="54" spans="1:8" s="13" customFormat="1" x14ac:dyDescent="0.2">
      <c r="A54" s="11">
        <v>53</v>
      </c>
      <c r="B54" s="12" t="s">
        <v>366</v>
      </c>
      <c r="C54" s="12" t="s">
        <v>791</v>
      </c>
      <c r="D54" s="12" t="s">
        <v>792</v>
      </c>
      <c r="E54" s="12" t="s">
        <v>793</v>
      </c>
      <c r="F54" s="12" t="s">
        <v>794</v>
      </c>
      <c r="G54" s="12"/>
      <c r="H54" s="12"/>
    </row>
    <row r="55" spans="1:8" s="13" customFormat="1" x14ac:dyDescent="0.2">
      <c r="A55" s="11">
        <v>54</v>
      </c>
      <c r="B55" s="12" t="s">
        <v>374</v>
      </c>
      <c r="C55" s="12" t="s">
        <v>772</v>
      </c>
      <c r="D55" s="12" t="s">
        <v>773</v>
      </c>
      <c r="E55" s="12" t="s">
        <v>795</v>
      </c>
      <c r="F55" s="12" t="s">
        <v>228</v>
      </c>
      <c r="G55" s="12"/>
      <c r="H55" s="12"/>
    </row>
    <row r="56" spans="1:8" s="13" customFormat="1" x14ac:dyDescent="0.2">
      <c r="A56" s="11">
        <v>55</v>
      </c>
      <c r="B56" s="12" t="s">
        <v>383</v>
      </c>
      <c r="C56" s="12"/>
      <c r="D56" s="12"/>
      <c r="E56" s="12" t="s">
        <v>323</v>
      </c>
      <c r="F56" s="12"/>
      <c r="G56" s="12"/>
      <c r="H56" s="12"/>
    </row>
    <row r="57" spans="1:8" s="13" customFormat="1" x14ac:dyDescent="0.2">
      <c r="A57" s="11">
        <v>56</v>
      </c>
      <c r="B57" s="12" t="s">
        <v>389</v>
      </c>
      <c r="C57" s="12"/>
      <c r="D57" s="12"/>
      <c r="E57" s="12" t="s">
        <v>334</v>
      </c>
      <c r="F57" s="12"/>
      <c r="G57" s="12"/>
      <c r="H57" s="12"/>
    </row>
    <row r="58" spans="1:8" s="13" customFormat="1" x14ac:dyDescent="0.2">
      <c r="A58" s="11">
        <v>57</v>
      </c>
      <c r="B58" s="12" t="s">
        <v>394</v>
      </c>
      <c r="C58" s="12"/>
      <c r="D58" s="12"/>
      <c r="E58" s="12" t="s">
        <v>396</v>
      </c>
      <c r="F58" s="12"/>
      <c r="G58" s="12"/>
      <c r="H58" s="12"/>
    </row>
    <row r="59" spans="1:8" s="13" customFormat="1" x14ac:dyDescent="0.2">
      <c r="A59" s="11">
        <v>58</v>
      </c>
      <c r="B59" s="12" t="s">
        <v>402</v>
      </c>
      <c r="C59" s="12"/>
      <c r="D59" s="12"/>
      <c r="E59" s="12" t="s">
        <v>404</v>
      </c>
      <c r="F59" s="12"/>
      <c r="G59" s="12"/>
      <c r="H59" s="12" t="s">
        <v>405</v>
      </c>
    </row>
    <row r="60" spans="1:8" s="13" customFormat="1" x14ac:dyDescent="0.2">
      <c r="A60" s="11">
        <v>59</v>
      </c>
      <c r="B60" s="12" t="s">
        <v>410</v>
      </c>
      <c r="C60" s="12"/>
      <c r="D60" s="12"/>
      <c r="E60" s="12" t="s">
        <v>413</v>
      </c>
      <c r="F60" s="12"/>
      <c r="G60" s="12"/>
      <c r="H60" s="12" t="s">
        <v>414</v>
      </c>
    </row>
    <row r="61" spans="1:8" s="13" customFormat="1" x14ac:dyDescent="0.2">
      <c r="A61" s="11">
        <v>60</v>
      </c>
      <c r="B61" s="12" t="s">
        <v>419</v>
      </c>
      <c r="C61" s="12"/>
      <c r="D61" s="12"/>
      <c r="E61" s="12"/>
      <c r="F61" s="12"/>
      <c r="G61" s="12"/>
      <c r="H61" s="12" t="s">
        <v>421</v>
      </c>
    </row>
    <row r="62" spans="1:8" s="13" customFormat="1" x14ac:dyDescent="0.2">
      <c r="A62" s="11">
        <v>61</v>
      </c>
      <c r="B62" s="12" t="s">
        <v>426</v>
      </c>
      <c r="C62" s="12"/>
      <c r="D62" s="12"/>
      <c r="F62" s="12" t="s">
        <v>428</v>
      </c>
      <c r="G62" s="12"/>
      <c r="H62" s="12"/>
    </row>
    <row r="63" spans="1:8" s="13" customFormat="1" x14ac:dyDescent="0.2">
      <c r="A63" s="11">
        <v>62</v>
      </c>
      <c r="B63" s="12" t="s">
        <v>433</v>
      </c>
      <c r="C63" s="12"/>
      <c r="D63" s="12"/>
      <c r="F63" s="12" t="s">
        <v>796</v>
      </c>
      <c r="G63" s="12"/>
      <c r="H63" s="12"/>
    </row>
    <row r="64" spans="1:8" s="13" customFormat="1" x14ac:dyDescent="0.2">
      <c r="A64" s="11">
        <v>63</v>
      </c>
      <c r="B64" s="12" t="s">
        <v>440</v>
      </c>
      <c r="D64" s="12" t="s">
        <v>442</v>
      </c>
      <c r="E64" s="12" t="s">
        <v>443</v>
      </c>
      <c r="F64" s="12"/>
      <c r="G64" s="12"/>
      <c r="H64" s="12"/>
    </row>
    <row r="65" spans="1:8" s="13" customFormat="1" x14ac:dyDescent="0.2">
      <c r="A65" s="11">
        <v>64</v>
      </c>
      <c r="B65" s="12" t="s">
        <v>450</v>
      </c>
      <c r="D65" s="12" t="s">
        <v>453</v>
      </c>
      <c r="E65" s="12" t="s">
        <v>454</v>
      </c>
      <c r="F65" s="12"/>
      <c r="G65" s="12"/>
      <c r="H65" s="12"/>
    </row>
    <row r="66" spans="1:8" s="13" customFormat="1" x14ac:dyDescent="0.2">
      <c r="A66" s="11">
        <v>65</v>
      </c>
      <c r="B66" s="12" t="s">
        <v>461</v>
      </c>
      <c r="C66" s="12"/>
      <c r="D66" s="12"/>
      <c r="E66" s="12" t="s">
        <v>797</v>
      </c>
      <c r="F66" s="12" t="s">
        <v>798</v>
      </c>
      <c r="G66" s="12"/>
      <c r="H66" s="12"/>
    </row>
    <row r="67" spans="1:8" s="13" customFormat="1" x14ac:dyDescent="0.2">
      <c r="A67" s="11">
        <v>66</v>
      </c>
      <c r="B67" s="12" t="s">
        <v>469</v>
      </c>
      <c r="D67" s="12" t="s">
        <v>472</v>
      </c>
      <c r="E67" s="12" t="s">
        <v>473</v>
      </c>
      <c r="F67" s="12"/>
      <c r="G67" s="12"/>
      <c r="H67" s="12" t="s">
        <v>474</v>
      </c>
    </row>
    <row r="68" spans="1:8" s="13" customFormat="1" x14ac:dyDescent="0.2">
      <c r="A68" s="11">
        <v>67</v>
      </c>
      <c r="B68" s="12" t="s">
        <v>481</v>
      </c>
      <c r="C68" s="12"/>
      <c r="D68" s="12"/>
      <c r="E68" s="12" t="s">
        <v>799</v>
      </c>
      <c r="F68" s="12" t="s">
        <v>256</v>
      </c>
      <c r="G68" s="12"/>
      <c r="H68" s="12" t="s">
        <v>486</v>
      </c>
    </row>
    <row r="69" spans="1:8" s="13" customFormat="1" x14ac:dyDescent="0.2">
      <c r="A69" s="11">
        <v>68</v>
      </c>
      <c r="B69" s="12" t="s">
        <v>491</v>
      </c>
      <c r="C69" s="12" t="s">
        <v>786</v>
      </c>
      <c r="D69" s="12" t="s">
        <v>787</v>
      </c>
      <c r="E69" s="12" t="s">
        <v>800</v>
      </c>
      <c r="F69" s="12"/>
      <c r="G69" s="12" t="s">
        <v>801</v>
      </c>
      <c r="H69" s="12" t="s">
        <v>494</v>
      </c>
    </row>
    <row r="70" spans="1:8" s="13" customFormat="1" x14ac:dyDescent="0.2">
      <c r="A70" s="11">
        <v>69</v>
      </c>
      <c r="B70" s="12" t="s">
        <v>498</v>
      </c>
      <c r="C70" s="12"/>
      <c r="D70" s="12"/>
      <c r="E70" s="12" t="s">
        <v>795</v>
      </c>
      <c r="F70" s="12"/>
      <c r="G70" s="12" t="s">
        <v>802</v>
      </c>
      <c r="H70" s="12"/>
    </row>
    <row r="71" spans="1:8" s="13" customFormat="1" x14ac:dyDescent="0.2">
      <c r="A71" s="11">
        <v>70</v>
      </c>
      <c r="B71" s="12" t="s">
        <v>505</v>
      </c>
      <c r="C71" s="12" t="s">
        <v>788</v>
      </c>
      <c r="D71" s="12" t="s">
        <v>789</v>
      </c>
      <c r="E71" s="12" t="s">
        <v>803</v>
      </c>
      <c r="F71" s="12" t="s">
        <v>562</v>
      </c>
      <c r="G71" s="12" t="s">
        <v>804</v>
      </c>
      <c r="H71" s="12"/>
    </row>
    <row r="72" spans="1:8" s="13" customFormat="1" x14ac:dyDescent="0.2">
      <c r="A72" s="11">
        <v>71</v>
      </c>
      <c r="B72" s="12" t="s">
        <v>512</v>
      </c>
      <c r="C72" s="12" t="s">
        <v>786</v>
      </c>
      <c r="D72" s="12" t="s">
        <v>787</v>
      </c>
      <c r="E72" s="12" t="s">
        <v>805</v>
      </c>
      <c r="F72" s="12" t="s">
        <v>569</v>
      </c>
      <c r="G72" s="12" t="s">
        <v>806</v>
      </c>
      <c r="H72" s="12"/>
    </row>
    <row r="73" spans="1:8" s="13" customFormat="1" x14ac:dyDescent="0.2">
      <c r="A73" s="11">
        <v>72</v>
      </c>
      <c r="B73" s="12" t="s">
        <v>519</v>
      </c>
      <c r="C73" s="12"/>
      <c r="D73" s="12"/>
      <c r="E73" s="12"/>
      <c r="F73" s="12"/>
      <c r="G73" s="12"/>
      <c r="H73" s="12"/>
    </row>
    <row r="74" spans="1:8" s="13" customFormat="1" x14ac:dyDescent="0.2">
      <c r="A74" s="11">
        <v>73</v>
      </c>
      <c r="B74" s="12" t="s">
        <v>342</v>
      </c>
      <c r="C74" s="12"/>
      <c r="D74" s="12"/>
      <c r="E74" s="12"/>
      <c r="F74" s="12"/>
      <c r="G74" s="12"/>
      <c r="H74" s="12"/>
    </row>
    <row r="75" spans="1:8" s="13" customFormat="1" x14ac:dyDescent="0.2">
      <c r="A75" s="11">
        <v>74</v>
      </c>
      <c r="B75" s="12" t="s">
        <v>83</v>
      </c>
      <c r="C75" s="12"/>
      <c r="D75" s="12"/>
      <c r="E75" s="12"/>
      <c r="F75" s="12"/>
      <c r="G75" s="12"/>
      <c r="H75" s="12"/>
    </row>
    <row r="76" spans="1:8" s="13" customFormat="1" x14ac:dyDescent="0.2">
      <c r="A76" s="11">
        <v>75</v>
      </c>
      <c r="B76" s="12" t="s">
        <v>85</v>
      </c>
      <c r="C76" s="12"/>
      <c r="D76" s="12"/>
      <c r="E76" s="12"/>
      <c r="F76" s="12"/>
      <c r="G76" s="12"/>
      <c r="H76" s="12"/>
    </row>
    <row r="77" spans="1:8" x14ac:dyDescent="0.2">
      <c r="A77" s="10">
        <v>76</v>
      </c>
      <c r="B77" s="3" t="s">
        <v>526</v>
      </c>
      <c r="C77" s="3"/>
      <c r="D77" s="3"/>
      <c r="E77" s="3"/>
      <c r="F77" s="3"/>
      <c r="G77" s="3"/>
      <c r="H77" s="3"/>
    </row>
    <row r="78" spans="1:8" x14ac:dyDescent="0.2">
      <c r="A78" s="10">
        <v>77</v>
      </c>
      <c r="B78" s="3" t="s">
        <v>530</v>
      </c>
      <c r="C78" s="3" t="s">
        <v>776</v>
      </c>
      <c r="D78" s="3" t="s">
        <v>777</v>
      </c>
      <c r="F78" s="3" t="s">
        <v>807</v>
      </c>
      <c r="G78" s="3"/>
      <c r="H78" s="3"/>
    </row>
    <row r="79" spans="1:8" x14ac:dyDescent="0.2">
      <c r="A79" s="10">
        <v>78</v>
      </c>
      <c r="B79" s="3" t="s">
        <v>537</v>
      </c>
      <c r="C79" s="3" t="s">
        <v>808</v>
      </c>
      <c r="D79" s="3" t="s">
        <v>809</v>
      </c>
      <c r="E79" s="3" t="s">
        <v>323</v>
      </c>
      <c r="F79" s="3" t="s">
        <v>569</v>
      </c>
      <c r="G79" s="3"/>
      <c r="H79" s="3"/>
    </row>
    <row r="80" spans="1:8" x14ac:dyDescent="0.2">
      <c r="A80" s="10">
        <v>79</v>
      </c>
      <c r="B80" s="3" t="s">
        <v>546</v>
      </c>
      <c r="C80" s="3" t="s">
        <v>810</v>
      </c>
      <c r="D80" s="3" t="s">
        <v>811</v>
      </c>
      <c r="E80" s="3" t="s">
        <v>334</v>
      </c>
      <c r="F80" s="3" t="s">
        <v>562</v>
      </c>
      <c r="G80" s="3"/>
      <c r="H80" s="3"/>
    </row>
    <row r="81" spans="1:8" x14ac:dyDescent="0.2">
      <c r="A81" s="10">
        <v>80</v>
      </c>
      <c r="B81" s="3" t="s">
        <v>554</v>
      </c>
      <c r="C81" s="3" t="s">
        <v>784</v>
      </c>
      <c r="D81" s="3" t="s">
        <v>785</v>
      </c>
      <c r="E81" s="3" t="s">
        <v>396</v>
      </c>
      <c r="F81" s="3" t="s">
        <v>790</v>
      </c>
      <c r="G81" s="3"/>
      <c r="H81" s="3"/>
    </row>
    <row r="82" spans="1:8" x14ac:dyDescent="0.2">
      <c r="A82" s="10">
        <v>81</v>
      </c>
      <c r="B82" s="3" t="s">
        <v>561</v>
      </c>
      <c r="C82" s="3"/>
      <c r="D82" s="3"/>
      <c r="F82" s="3" t="s">
        <v>562</v>
      </c>
      <c r="G82" s="3"/>
      <c r="H82" s="3"/>
    </row>
    <row r="83" spans="1:8" x14ac:dyDescent="0.2">
      <c r="A83" s="10">
        <v>82</v>
      </c>
      <c r="B83" s="3" t="s">
        <v>568</v>
      </c>
      <c r="C83" s="3"/>
      <c r="D83" s="3"/>
      <c r="F83" s="3" t="s">
        <v>569</v>
      </c>
      <c r="G83" s="3"/>
      <c r="H83" s="3"/>
    </row>
    <row r="84" spans="1:8" x14ac:dyDescent="0.2">
      <c r="A84" s="10">
        <v>83</v>
      </c>
      <c r="B84" s="3" t="s">
        <v>575</v>
      </c>
      <c r="C84" s="3"/>
      <c r="D84" s="3"/>
      <c r="F84" s="3" t="s">
        <v>577</v>
      </c>
      <c r="G84" s="3"/>
      <c r="H84" s="3"/>
    </row>
    <row r="85" spans="1:8" x14ac:dyDescent="0.2">
      <c r="A85" s="10">
        <v>84</v>
      </c>
      <c r="B85" s="3" t="s">
        <v>582</v>
      </c>
      <c r="C85" s="3" t="s">
        <v>786</v>
      </c>
      <c r="D85" s="3" t="s">
        <v>787</v>
      </c>
      <c r="E85" s="3" t="s">
        <v>774</v>
      </c>
      <c r="F85" s="3"/>
      <c r="G85" s="3"/>
      <c r="H85" s="3"/>
    </row>
    <row r="86" spans="1:8" x14ac:dyDescent="0.2">
      <c r="A86" s="10">
        <v>85</v>
      </c>
      <c r="B86" s="3" t="s">
        <v>589</v>
      </c>
      <c r="C86" s="3"/>
      <c r="D86" s="3"/>
      <c r="E86" s="3" t="s">
        <v>775</v>
      </c>
      <c r="F86" s="3"/>
      <c r="G86" s="3"/>
      <c r="H86" s="3"/>
    </row>
    <row r="87" spans="1:8" x14ac:dyDescent="0.2">
      <c r="A87" s="10">
        <v>86</v>
      </c>
      <c r="B87" s="3" t="s">
        <v>596</v>
      </c>
      <c r="C87" s="3"/>
      <c r="D87" s="3"/>
      <c r="E87" s="3" t="s">
        <v>152</v>
      </c>
      <c r="F87" s="3"/>
      <c r="G87" s="3"/>
      <c r="H87" s="3"/>
    </row>
    <row r="88" spans="1:8" x14ac:dyDescent="0.2">
      <c r="A88" s="10">
        <v>87</v>
      </c>
      <c r="B88" s="3" t="s">
        <v>601</v>
      </c>
      <c r="C88" s="3" t="s">
        <v>784</v>
      </c>
      <c r="D88" s="3" t="s">
        <v>785</v>
      </c>
      <c r="E88" s="3" t="s">
        <v>162</v>
      </c>
      <c r="F88" s="3"/>
      <c r="G88" s="3"/>
      <c r="H88" s="3"/>
    </row>
    <row r="89" spans="1:8" x14ac:dyDescent="0.2">
      <c r="A89" s="10">
        <v>88</v>
      </c>
      <c r="B89" s="3" t="s">
        <v>608</v>
      </c>
      <c r="C89" s="3" t="s">
        <v>812</v>
      </c>
      <c r="D89" s="3" t="s">
        <v>783</v>
      </c>
      <c r="E89" s="3" t="s">
        <v>175</v>
      </c>
      <c r="F89" s="3"/>
      <c r="G89" s="3"/>
      <c r="H89" s="3"/>
    </row>
    <row r="90" spans="1:8" x14ac:dyDescent="0.2">
      <c r="A90" s="10">
        <v>89</v>
      </c>
      <c r="B90" s="3" t="s">
        <v>614</v>
      </c>
      <c r="C90" s="3" t="s">
        <v>813</v>
      </c>
      <c r="D90" s="3" t="s">
        <v>814</v>
      </c>
      <c r="F90" s="3" t="s">
        <v>256</v>
      </c>
      <c r="G90" s="3"/>
      <c r="H90" s="3"/>
    </row>
    <row r="91" spans="1:8" x14ac:dyDescent="0.2">
      <c r="A91" s="10">
        <v>90</v>
      </c>
      <c r="B91" s="3" t="s">
        <v>622</v>
      </c>
      <c r="C91" s="3" t="s">
        <v>815</v>
      </c>
      <c r="D91" s="3" t="s">
        <v>816</v>
      </c>
      <c r="F91" s="3" t="s">
        <v>264</v>
      </c>
      <c r="G91" s="3"/>
      <c r="H91" s="3"/>
    </row>
    <row r="92" spans="1:8" x14ac:dyDescent="0.2">
      <c r="A92" s="10">
        <v>91</v>
      </c>
      <c r="B92" s="3" t="s">
        <v>629</v>
      </c>
      <c r="C92" s="3" t="s">
        <v>817</v>
      </c>
      <c r="D92" s="3" t="s">
        <v>818</v>
      </c>
      <c r="F92" s="3" t="s">
        <v>577</v>
      </c>
      <c r="G92" s="3"/>
      <c r="H92" s="3" t="s">
        <v>632</v>
      </c>
    </row>
    <row r="93" spans="1:8" x14ac:dyDescent="0.2">
      <c r="A93" s="10">
        <v>92</v>
      </c>
      <c r="B93" s="3" t="s">
        <v>638</v>
      </c>
      <c r="C93" s="3"/>
      <c r="D93" s="3"/>
      <c r="E93" s="3" t="s">
        <v>800</v>
      </c>
      <c r="F93" s="3" t="s">
        <v>790</v>
      </c>
      <c r="G93" s="3" t="s">
        <v>801</v>
      </c>
      <c r="H93" s="3" t="s">
        <v>641</v>
      </c>
    </row>
    <row r="94" spans="1:8" x14ac:dyDescent="0.2">
      <c r="A94" s="10">
        <v>93</v>
      </c>
      <c r="B94" s="3" t="s">
        <v>646</v>
      </c>
      <c r="C94" s="3"/>
      <c r="D94" s="3"/>
      <c r="E94" s="3" t="s">
        <v>795</v>
      </c>
      <c r="F94" s="3"/>
      <c r="G94" s="3" t="s">
        <v>802</v>
      </c>
      <c r="H94" s="3" t="s">
        <v>650</v>
      </c>
    </row>
    <row r="95" spans="1:8" x14ac:dyDescent="0.2">
      <c r="A95" s="10">
        <v>94</v>
      </c>
      <c r="B95" s="3" t="s">
        <v>656</v>
      </c>
      <c r="C95" s="3"/>
      <c r="D95" s="3"/>
      <c r="E95" s="3"/>
      <c r="F95" s="3"/>
      <c r="G95" s="3"/>
      <c r="H95" s="3"/>
    </row>
    <row r="96" spans="1:8" x14ac:dyDescent="0.2">
      <c r="A96" s="10">
        <v>95</v>
      </c>
      <c r="B96" s="3" t="s">
        <v>661</v>
      </c>
      <c r="C96" s="3"/>
      <c r="D96" s="3"/>
      <c r="F96" s="3" t="s">
        <v>562</v>
      </c>
      <c r="G96" s="3"/>
      <c r="H96" s="3" t="s">
        <v>641</v>
      </c>
    </row>
    <row r="97" spans="1:8" x14ac:dyDescent="0.2">
      <c r="A97" s="10">
        <v>96</v>
      </c>
      <c r="B97" s="3" t="s">
        <v>667</v>
      </c>
      <c r="C97" s="3" t="s">
        <v>788</v>
      </c>
      <c r="D97" s="3" t="s">
        <v>789</v>
      </c>
      <c r="F97" s="3" t="s">
        <v>569</v>
      </c>
      <c r="G97" s="3"/>
      <c r="H97" s="3" t="s">
        <v>669</v>
      </c>
    </row>
    <row r="98" spans="1:8" x14ac:dyDescent="0.2">
      <c r="A98" s="10">
        <v>97</v>
      </c>
      <c r="B98" s="3" t="s">
        <v>674</v>
      </c>
      <c r="C98" s="3"/>
      <c r="D98" s="3"/>
      <c r="F98" s="3" t="s">
        <v>676</v>
      </c>
      <c r="G98" s="3"/>
      <c r="H98" s="3"/>
    </row>
    <row r="99" spans="1:8" x14ac:dyDescent="0.2">
      <c r="A99" s="10">
        <v>98</v>
      </c>
      <c r="B99" s="3" t="s">
        <v>681</v>
      </c>
      <c r="C99" s="3"/>
      <c r="D99" s="3"/>
      <c r="F99" s="3" t="s">
        <v>683</v>
      </c>
      <c r="G99" s="3"/>
      <c r="H99" s="3"/>
    </row>
    <row r="100" spans="1:8" x14ac:dyDescent="0.2">
      <c r="A100" s="10">
        <v>99</v>
      </c>
      <c r="B100" s="3" t="s">
        <v>83</v>
      </c>
      <c r="C100" s="3"/>
      <c r="D100" s="3"/>
      <c r="E100" s="3"/>
      <c r="F100" s="3"/>
      <c r="G100" s="3"/>
      <c r="H100" s="3"/>
    </row>
    <row r="101" spans="1:8" x14ac:dyDescent="0.2">
      <c r="A101" s="10">
        <v>100</v>
      </c>
      <c r="B101" s="3" t="s">
        <v>85</v>
      </c>
      <c r="C101" s="3"/>
      <c r="D101" s="3"/>
      <c r="E101" s="3"/>
      <c r="F101" s="3"/>
      <c r="G101" s="3"/>
      <c r="H101" s="3"/>
    </row>
    <row r="102" spans="1:8" s="9" customFormat="1" x14ac:dyDescent="0.2">
      <c r="C102" s="9">
        <v>4</v>
      </c>
      <c r="D102" s="9">
        <v>3</v>
      </c>
      <c r="E102" s="9">
        <v>3</v>
      </c>
      <c r="F102" s="9">
        <v>3</v>
      </c>
      <c r="G102" s="9">
        <v>2</v>
      </c>
      <c r="H102" s="9">
        <v>3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TIM, LPTIM, HRTIM</vt:lpstr>
      <vt:lpstr>SPI, I2S, USART, UART, I2C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MARGA BUDI AZTOMO</cp:lastModifiedBy>
  <cp:revision>2</cp:revision>
  <dcterms:modified xsi:type="dcterms:W3CDTF">2026-09-15T08:28:51Z</dcterms:modified>
</cp:coreProperties>
</file>