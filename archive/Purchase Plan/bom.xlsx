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<sst xmlns="http://schemas.openxmlformats.org/spreadsheetml/2006/main" count="119" uniqueCount="119">
  <si>
    <t>Designator</t>
  </si>
  <si>
    <t>Footprint</t>
  </si>
  <si>
    <t>Quantity</t>
  </si>
  <si>
    <t>Value</t>
  </si>
  <si>
    <t xml:space="preserve">LCSC Part #</t>
  </si>
  <si>
    <t>MoQ</t>
  </si>
  <si>
    <t>Harga</t>
  </si>
  <si>
    <t xml:space="preserve">Total Harga</t>
  </si>
  <si>
    <t>MoQ</t>
  </si>
  <si>
    <t xml:space="preserve">Qty Unit</t>
  </si>
  <si>
    <t>Price</t>
  </si>
  <si>
    <t>Qty</t>
  </si>
  <si>
    <t xml:space="preserve">Total Price</t>
  </si>
  <si>
    <t xml:space="preserve">Actual Qty</t>
  </si>
  <si>
    <t>Store</t>
  </si>
  <si>
    <t>Tokopedia</t>
  </si>
  <si>
    <t xml:space="preserve">C1, C3</t>
  </si>
  <si>
    <t>CP_EIA-3528-12_Kemet-T</t>
  </si>
  <si>
    <t>10u</t>
  </si>
  <si>
    <t xml:space="preserve">Lisu Instruments</t>
  </si>
  <si>
    <t>https://www.tokopedia.com/lisuinstrument/10uf-10-25v-case-b-3528-e106-smd-tantalum-capacitor-xiangyee-ca45-b025k106t-1729925991169164773?extParam=src%3Dshop%26whid%3D580205&amp;aff_unique_id=&amp;channel=others&amp;chain_key=</t>
  </si>
  <si>
    <t xml:space="preserve">C10, C11, C12, C13, C14, C15, C19, C2, C20, C22, C4, C9</t>
  </si>
  <si>
    <t>0603</t>
  </si>
  <si>
    <t>100n</t>
  </si>
  <si>
    <t xml:space="preserve">Lisu Instruments</t>
  </si>
  <si>
    <t>https://www.tokopedia.com/lisuinstrument/100nf-10-100v-x7r-0603-1608-mm-capacitor-yageo-cc0603krx7r0bb104?extParam=src%3Dshop%26whid%3D580205&amp;aff_unique_id=&amp;channel=others&amp;chain_key=</t>
  </si>
  <si>
    <t xml:space="preserve">C16, C17</t>
  </si>
  <si>
    <t>2.2u</t>
  </si>
  <si>
    <t xml:space="preserve">Lisu Instruments</t>
  </si>
  <si>
    <t>https://www.tokopedia.com/lisuinstrument/2-2uf-10-16v-x5r-0603-1608-mm-smd-ceramic-capacitor-mlcc-samsung?extParam=src%3Dshop%26whid%3D580205&amp;aff_unique_id=&amp;channel=others&amp;chain_key=</t>
  </si>
  <si>
    <t>C21</t>
  </si>
  <si>
    <t>22p</t>
  </si>
  <si>
    <t xml:space="preserve">Lisu Instruments</t>
  </si>
  <si>
    <t>https://www.tokopedia.com/lisuinstrument/22pf-5-50v-np0-c0g-0603-1608-mm-capacitor-yageo-cc0603jrnpo9bn220?extParam=src%3Dshop%26whid%3D580205&amp;aff_unique_id=&amp;channel=others&amp;chain_key=</t>
  </si>
  <si>
    <t xml:space="preserve">C5, C6</t>
  </si>
  <si>
    <t>10p</t>
  </si>
  <si>
    <t xml:space="preserve">Lisu Instruments</t>
  </si>
  <si>
    <t>https://www.tokopedia.com/lisuinstrument/10pf-5-50v-np0-c0g-0603-1608-mm-smd-multilayer-ceramic-capacitor-mlcc-smt-yageo-cc0603jrnpo9bn100?extParam=src%3Dshop%26whid%3D580205&amp;aff_unique_id=&amp;channel=others&amp;chain_key=</t>
  </si>
  <si>
    <t xml:space="preserve">C7, C8</t>
  </si>
  <si>
    <t>20p</t>
  </si>
  <si>
    <t xml:space="preserve">Lisu Instruments</t>
  </si>
  <si>
    <t>https://www.tokopedia.com/lisuinstrument/5-buah-20pf-0603-50v-c0g-5-smd-mlcc-ceramic-capacitor-cctc-tcc0603cog200j500ct-5-pcs-1735677990402885093?extParam=src%3Dshop%26whid%3D580205&amp;aff_unique_id=&amp;channel=others&amp;chain_key=</t>
  </si>
  <si>
    <t>D1</t>
  </si>
  <si>
    <t>D_SOD-323</t>
  </si>
  <si>
    <t>LESD3Z5.0T1G</t>
  </si>
  <si>
    <t xml:space="preserve">Lisu Instruments</t>
  </si>
  <si>
    <t>https://www.tokopedia.com/lisuinstrument/lesd5z5-0t1g-zf-5v-transient-voltage-suppressors-for-esd-protection</t>
  </si>
  <si>
    <t>D2</t>
  </si>
  <si>
    <t>D_SOD-323</t>
  </si>
  <si>
    <t>LESD3Z3.3T1G</t>
  </si>
  <si>
    <t xml:space="preserve">Lisu Instruments</t>
  </si>
  <si>
    <t>https://www.tokopedia.com/lisuinstrument/lesd5z3-3t1g-ze-3-3v-transient-voltage-suppressors-for-esd-protection</t>
  </si>
  <si>
    <t>FB1</t>
  </si>
  <si>
    <t xml:space="preserve">1k 100MHz</t>
  </si>
  <si>
    <t xml:space="preserve">BRIGHTEN SHOP</t>
  </si>
  <si>
    <t>https://www.tokopedia.com/brighten/samwha-ferrite-bead-600-ohm-smd-0603-cb1608pk601t-beads?extParam=ivf%3Dfalse%26keyword%3Dferrite+bead+0603+1k%26search_id%3D2026083104094640008B9A5380FC14318U%26src%3Dsearch</t>
  </si>
  <si>
    <t xml:space="preserve">J2, J4, J6, J8</t>
  </si>
  <si>
    <t>PinHeader_1x13_P2.54mm_Vertical</t>
  </si>
  <si>
    <t>Conn_01x13</t>
  </si>
  <si>
    <t xml:space="preserve">J3, J5, J7, J9</t>
  </si>
  <si>
    <t>PinHeader_1x12_P2.54mm_Vertical</t>
  </si>
  <si>
    <t>Conn_01x12</t>
  </si>
  <si>
    <t>L1</t>
  </si>
  <si>
    <t>L_7.3x7.3_H4.5</t>
  </si>
  <si>
    <t>2.2u</t>
  </si>
  <si>
    <t xml:space="preserve">BRIGHTEN SHOP</t>
  </si>
  <si>
    <t>https://www.tokopedia.com/brighten/spc7040-2r2m-induktor-smd-2-2uh-2r2-4-3a-1731289283232171543?extParam=ivf%3Dfalse%26keyword%3D2.2uh%26search_id%3D20260831040530C203D8A151612A3A1IXS%26src%3Dsearch</t>
  </si>
  <si>
    <t>R1</t>
  </si>
  <si>
    <t>10k</t>
  </si>
  <si>
    <t xml:space="preserve">Lisu Instruments</t>
  </si>
  <si>
    <t>https://www.tokopedia.com/lisuinstrument/10k-0603-1-100mw-75v-100ppm-c-thick-film-resistor-10k-rca0310kflf-hkr?extParam=src%3Dshop%26whid%3D580205&amp;aff_unique_id=&amp;channel=others&amp;chain_key=</t>
  </si>
  <si>
    <t xml:space="preserve">R10, R11, R12, R13, R8, R9</t>
  </si>
  <si>
    <t xml:space="preserve">Lisu Instruments</t>
  </si>
  <si>
    <t>https://www.tokopedia.com/lisuinstrument/33r-0603-1-100mw-thick-film-resistor-33-330-fojan-frc0603f33r0ts-1729910004216727013?extParam=src%3Dshop%26whid%3D580205&amp;aff_unique_id=&amp;channel=others&amp;chain_key=</t>
  </si>
  <si>
    <t xml:space="preserve">R14, R7</t>
  </si>
  <si>
    <t>100k</t>
  </si>
  <si>
    <t xml:space="preserve">Lisu Instruments</t>
  </si>
  <si>
    <t>https://www.tokopedia.com/lisuinstrument/100k-0603-1-smd-thick-film-resistor-100k-01d-rc0603fr-07100kl-yageo-1730895449795954149?extParam=src%3Dshop%26whid%3D580205&amp;aff_unique_id=&amp;channel=others&amp;chain_key=</t>
  </si>
  <si>
    <t>R2</t>
  </si>
  <si>
    <t xml:space="preserve">Lisu Instruments</t>
  </si>
  <si>
    <t>https://www.tokopedia.com/lisuinstrument/0r-0603-1-100mw-thick-film-resistor-0-0-jumper-uni-royal-0603waf0000t5e-1732777308192081381?extParam=whid%3D580205%26src%3Dshop&amp;aff_unique_id=&amp;channel=others&amp;chain_key=</t>
  </si>
  <si>
    <t>R3</t>
  </si>
  <si>
    <t>680k</t>
  </si>
  <si>
    <t xml:space="preserve">Lisu Instruments</t>
  </si>
  <si>
    <t>https://www.tokopedia.com/lisuinstrument/680k-0603-1608-mm-1-thick-film-resistor-smd-100mw-680k?extParam=src%3Dshop%26whid%3D580205&amp;aff_unique_id=&amp;channel=others&amp;chain_key=</t>
  </si>
  <si>
    <t>R4</t>
  </si>
  <si>
    <t>150k</t>
  </si>
  <si>
    <t xml:space="preserve">I.WANT ELECTRONICS</t>
  </si>
  <si>
    <t>https://www.tokopedia.com/iwantelectronics/150k-ohm-resistor-smd-0603-set-qty-10-pcs?extParam=ivf%3Dfalse%26keyword%3D0603+150k%26search_id%3D20260831061633955AF57E494555370RVD%26src%3Dsearch</t>
  </si>
  <si>
    <t xml:space="preserve">SW1, SW2</t>
  </si>
  <si>
    <t>SW_SPST_PTS810</t>
  </si>
  <si>
    <t>3x4x2.5</t>
  </si>
  <si>
    <t xml:space="preserve">Lisu Instruments</t>
  </si>
  <si>
    <t>https://www.tokopedia.com/lisuinstrument/4-pin-smd-tactile-switch-button-4p-3x4x2-5mm-shou-han-sh-1808sn-250gf-1729807735169254885?extParam=ivf%3Dfalse%26keyword%3D3x4x2.5%26search_id%3D20260831043317EFE937780E955726AP2G%26src%3Dsearch</t>
  </si>
  <si>
    <t>U1</t>
  </si>
  <si>
    <t>LQFP-100_14x14mm_P0.5mm_vias</t>
  </si>
  <si>
    <t>STM32H750VBTx</t>
  </si>
  <si>
    <t>FPVMILITAN</t>
  </si>
  <si>
    <t>https://www.tokopedia.com/fpvmilitan/stm32-h750-stm32h750vbt6-arm-cortex-ic-micro-chip-stm32h750-chipset</t>
  </si>
  <si>
    <t>U2</t>
  </si>
  <si>
    <t>SOT-23-5</t>
  </si>
  <si>
    <t>SY8088AAC</t>
  </si>
  <si>
    <t xml:space="preserve">PM TECH</t>
  </si>
  <si>
    <t>https://www.tokopedia.com/pmtech/sy8088-ld3yh-ld5cq-aac-ld2lc-ld4xi-ld-ldxx-sy8088aac-sy8088-synchronous-step-down-dc-dc-regulator-smd-sot23-5-1729857475183019505?extParam=ivf%3Dfalse%26keyword%3Dsy8088%26search_id%3D2026083104315740008B9A5380FC37BR4Q%26src%3Dsearch</t>
  </si>
  <si>
    <t xml:space="preserve">U3, U4</t>
  </si>
  <si>
    <t>SOIC-8_5.3x5.3mm_P1.27mm</t>
  </si>
  <si>
    <t>W25Q128JVS</t>
  </si>
  <si>
    <t>Flashctronic</t>
  </si>
  <si>
    <t>https://www.tokopedia.com/flashtronic/winbond-25q128-w25q128jvsiq-soic-8-original?extParam=ivf%3Dfalse%26keyword%3Dw25q128%26search_id%3D20260831041853B83AAC23B952873902G4%26src%3Dsearch</t>
  </si>
  <si>
    <t>Y1</t>
  </si>
  <si>
    <t>Crystal_SMD_3215-2Pin_3.2x1.5mm</t>
  </si>
  <si>
    <t>32.768K</t>
  </si>
  <si>
    <t xml:space="preserve">SIKIL GANGSAL</t>
  </si>
  <si>
    <t>https://www.tokopedia.com/jayenk/chip-oscillator-crystal-xtal-kristal-oskilator-osilator-smd-a425l-32-768-khz-size-3-2-1-5-0-90-mm-1732236498841469958</t>
  </si>
  <si>
    <t>Y2</t>
  </si>
  <si>
    <t>Crystal_SMD_3225-4Pin_3.2x2.5mm</t>
  </si>
  <si>
    <t>25MHz</t>
  </si>
  <si>
    <t xml:space="preserve">Cosmic IOT</t>
  </si>
  <si>
    <t>https://www.tokopedia.com/cosmic-iot/crystal-25mhz-4-pin-xtal-25-mhz-4pin-smd-3225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</si>
</sst>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(* #,##0_);_(* &quot;(&quot;#,##0&quot;)&quot;;_(* &quot;-&quot;??_);_(@_)"/>
  </numFmts>
  <fonts count="4">
    <font>
      <sz val="11.000000"/>
      <name val="Calibri"/>
      <scheme val="minor"/>
    </font>
    <font>
      <sz val="11.000000"/>
      <color theme="1"/>
      <name val="Calibri"/>
      <scheme val="minor"/>
    </font>
    <font>
      <sz val="11.000000"/>
      <color theme="0" tint="0"/>
      <name val="Calibri"/>
      <scheme val="minor"/>
    </font>
    <font>
      <b/>
      <sz val="11.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1" fillId="2" borderId="0" numFmtId="43" applyNumberFormat="1" applyFont="0" applyFill="0" applyBorder="0"/>
  </cellStyleXfs>
  <cellXfs count="7">
    <xf fontId="0" fillId="0" borderId="0" numFmtId="0" xfId="0"/>
    <xf fontId="2" fillId="0" borderId="0" numFmtId="0" xfId="0" applyFont="1"/>
    <xf fontId="0" fillId="0" borderId="0" numFmtId="0" xfId="0"/>
    <xf fontId="0" fillId="0" borderId="0" numFmtId="0" xfId="0" applyAlignment="1">
      <alignment horizontal="left"/>
    </xf>
    <xf fontId="0" fillId="0" borderId="0" numFmtId="164" xfId="1" applyNumberFormat="1"/>
    <xf fontId="0" fillId="0" borderId="0" numFmtId="0" xfId="0" quotePrefix="1"/>
    <xf fontId="3" fillId="0" borderId="0" numFmtId="164" xfId="1" applyNumberFormat="1" applyFont="1"/>
  </cellXfs>
  <cellStyles count="2">
    <cellStyle name="Normal" xfId="0" builtinId="0"/>
    <cellStyle name="Comm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bestFit="1" customWidth="1" min="1" max="1" width="47.921875"/>
    <col bestFit="1" min="5" max="5" width="10.33203125"/>
    <col customWidth="1" min="6" max="8" style="1" width="2.7109375"/>
    <col customWidth="1" min="9" max="9" width="8.28125"/>
    <col customWidth="1" min="10" max="10" width="9.7109375"/>
    <col customWidth="1" min="11" max="11" width="9.28125"/>
    <col bestFit="1" min="13" max="13" width="11.48046875"/>
    <col min="14" max="14" width="11.480468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>
        <v>2</v>
      </c>
      <c r="D2" s="3" t="s">
        <v>18</v>
      </c>
      <c r="F2" s="1">
        <v>2</v>
      </c>
      <c r="G2" s="1">
        <v>4204</v>
      </c>
      <c r="H2" s="1">
        <v>8408</v>
      </c>
      <c r="I2" s="4">
        <v>2</v>
      </c>
      <c r="J2" s="4">
        <v>1</v>
      </c>
      <c r="K2" s="4">
        <f t="shared" ref="K2:K9" si="0">H2/I2</f>
        <v>4204</v>
      </c>
      <c r="L2" s="4">
        <v>10</v>
      </c>
      <c r="M2" s="4">
        <f t="shared" ref="M2:M9" si="1">L2*K2</f>
        <v>42040</v>
      </c>
      <c r="N2" s="4">
        <f t="shared" ref="N2:N9" si="2">L2*J2</f>
        <v>10</v>
      </c>
      <c r="O2" t="s">
        <v>19</v>
      </c>
      <c r="P2" t="s">
        <v>20</v>
      </c>
    </row>
    <row r="3">
      <c r="A3" t="s">
        <v>21</v>
      </c>
      <c r="B3" s="5" t="s">
        <v>22</v>
      </c>
      <c r="C3">
        <v>12</v>
      </c>
      <c r="D3" s="3" t="s">
        <v>23</v>
      </c>
      <c r="F3" s="1">
        <v>50</v>
      </c>
      <c r="G3" s="1">
        <v>200</v>
      </c>
      <c r="H3" s="1">
        <v>10000</v>
      </c>
      <c r="I3" s="4">
        <v>10</v>
      </c>
      <c r="J3" s="4">
        <v>5</v>
      </c>
      <c r="K3" s="4">
        <f t="shared" si="0"/>
        <v>1000</v>
      </c>
      <c r="L3" s="4">
        <v>10</v>
      </c>
      <c r="M3" s="4">
        <f t="shared" si="1"/>
        <v>10000</v>
      </c>
      <c r="N3" s="4">
        <f t="shared" si="2"/>
        <v>50</v>
      </c>
      <c r="O3" t="s">
        <v>24</v>
      </c>
      <c r="P3" t="s">
        <v>25</v>
      </c>
    </row>
    <row r="4">
      <c r="A4" t="s">
        <v>26</v>
      </c>
      <c r="B4" t="s">
        <v>22</v>
      </c>
      <c r="C4">
        <v>2</v>
      </c>
      <c r="D4" s="3" t="s">
        <v>27</v>
      </c>
      <c r="F4" s="1">
        <v>40</v>
      </c>
      <c r="G4" s="1">
        <v>249</v>
      </c>
      <c r="H4" s="1">
        <v>9960</v>
      </c>
      <c r="I4" s="4">
        <v>8</v>
      </c>
      <c r="J4" s="4">
        <v>5</v>
      </c>
      <c r="K4" s="4">
        <f t="shared" si="0"/>
        <v>1245</v>
      </c>
      <c r="L4" s="4">
        <v>8</v>
      </c>
      <c r="M4" s="4">
        <f t="shared" si="1"/>
        <v>9960</v>
      </c>
      <c r="N4" s="4">
        <f t="shared" si="2"/>
        <v>40</v>
      </c>
      <c r="O4" t="s">
        <v>28</v>
      </c>
      <c r="P4" t="s">
        <v>29</v>
      </c>
    </row>
    <row r="5">
      <c r="A5" t="s">
        <v>30</v>
      </c>
      <c r="B5" t="s">
        <v>22</v>
      </c>
      <c r="C5">
        <v>1</v>
      </c>
      <c r="D5" s="3" t="s">
        <v>31</v>
      </c>
      <c r="F5" s="1">
        <v>60</v>
      </c>
      <c r="G5" s="1">
        <v>149</v>
      </c>
      <c r="H5" s="1">
        <v>8940</v>
      </c>
      <c r="I5" s="4">
        <v>12</v>
      </c>
      <c r="J5" s="4">
        <v>5</v>
      </c>
      <c r="K5" s="4">
        <f t="shared" si="0"/>
        <v>745</v>
      </c>
      <c r="L5" s="4">
        <v>12</v>
      </c>
      <c r="M5" s="4">
        <f t="shared" si="1"/>
        <v>8940</v>
      </c>
      <c r="N5" s="4">
        <f t="shared" si="2"/>
        <v>60</v>
      </c>
      <c r="O5" t="s">
        <v>32</v>
      </c>
      <c r="P5" t="s">
        <v>33</v>
      </c>
    </row>
    <row r="6">
      <c r="A6" t="s">
        <v>34</v>
      </c>
      <c r="B6" t="s">
        <v>22</v>
      </c>
      <c r="C6">
        <v>2</v>
      </c>
      <c r="D6" s="3" t="s">
        <v>35</v>
      </c>
      <c r="F6" s="1">
        <v>50</v>
      </c>
      <c r="G6" s="1">
        <v>199</v>
      </c>
      <c r="H6" s="1">
        <v>9950</v>
      </c>
      <c r="I6" s="4">
        <v>10</v>
      </c>
      <c r="J6" s="4">
        <v>5</v>
      </c>
      <c r="K6" s="4">
        <f t="shared" si="0"/>
        <v>995</v>
      </c>
      <c r="L6" s="4">
        <v>10</v>
      </c>
      <c r="M6" s="4">
        <f t="shared" si="1"/>
        <v>9950</v>
      </c>
      <c r="N6" s="4">
        <f t="shared" si="2"/>
        <v>50</v>
      </c>
      <c r="O6" t="s">
        <v>36</v>
      </c>
      <c r="P6" t="s">
        <v>37</v>
      </c>
    </row>
    <row r="7">
      <c r="A7" t="s">
        <v>38</v>
      </c>
      <c r="B7" t="s">
        <v>22</v>
      </c>
      <c r="C7">
        <v>2</v>
      </c>
      <c r="D7" s="3" t="s">
        <v>39</v>
      </c>
      <c r="F7" s="1">
        <v>75</v>
      </c>
      <c r="G7" s="1">
        <v>189</v>
      </c>
      <c r="H7" s="1">
        <v>14175</v>
      </c>
      <c r="I7" s="4">
        <v>15</v>
      </c>
      <c r="J7" s="4">
        <v>5</v>
      </c>
      <c r="K7" s="4">
        <f t="shared" si="0"/>
        <v>945</v>
      </c>
      <c r="L7" s="4">
        <v>15</v>
      </c>
      <c r="M7" s="4">
        <f t="shared" si="1"/>
        <v>14175</v>
      </c>
      <c r="N7" s="4">
        <f t="shared" si="2"/>
        <v>75</v>
      </c>
      <c r="O7" t="s">
        <v>40</v>
      </c>
      <c r="P7" t="s">
        <v>41</v>
      </c>
    </row>
    <row r="8">
      <c r="A8" t="s">
        <v>42</v>
      </c>
      <c r="B8" t="s">
        <v>43</v>
      </c>
      <c r="C8">
        <v>1</v>
      </c>
      <c r="D8" s="3" t="s">
        <v>44</v>
      </c>
      <c r="F8" s="1">
        <v>1</v>
      </c>
      <c r="G8" s="1">
        <v>899</v>
      </c>
      <c r="H8" s="1">
        <v>899</v>
      </c>
      <c r="I8" s="4">
        <v>1</v>
      </c>
      <c r="J8" s="4">
        <v>1</v>
      </c>
      <c r="K8" s="4">
        <f t="shared" si="0"/>
        <v>899</v>
      </c>
      <c r="L8" s="4">
        <v>10</v>
      </c>
      <c r="M8" s="4">
        <f t="shared" si="1"/>
        <v>8990</v>
      </c>
      <c r="N8" s="4">
        <f t="shared" si="2"/>
        <v>10</v>
      </c>
      <c r="O8" t="s">
        <v>45</v>
      </c>
      <c r="P8" t="s">
        <v>46</v>
      </c>
    </row>
    <row r="9">
      <c r="A9" t="s">
        <v>47</v>
      </c>
      <c r="B9" t="s">
        <v>48</v>
      </c>
      <c r="C9">
        <v>1</v>
      </c>
      <c r="D9" s="3" t="s">
        <v>49</v>
      </c>
      <c r="F9" s="1">
        <v>10</v>
      </c>
      <c r="G9" s="1">
        <v>899</v>
      </c>
      <c r="H9" s="1">
        <v>8990</v>
      </c>
      <c r="I9" s="4">
        <v>10</v>
      </c>
      <c r="J9" s="4">
        <v>1</v>
      </c>
      <c r="K9" s="4">
        <f t="shared" si="0"/>
        <v>899</v>
      </c>
      <c r="L9" s="4">
        <v>10</v>
      </c>
      <c r="M9" s="4">
        <f t="shared" si="1"/>
        <v>8990</v>
      </c>
      <c r="N9" s="4">
        <f t="shared" si="2"/>
        <v>10</v>
      </c>
      <c r="O9" t="s">
        <v>50</v>
      </c>
      <c r="P9" t="s">
        <v>51</v>
      </c>
    </row>
    <row r="10">
      <c r="A10" t="s">
        <v>52</v>
      </c>
      <c r="B10" t="s">
        <v>22</v>
      </c>
      <c r="C10">
        <v>1</v>
      </c>
      <c r="D10" s="3" t="s">
        <v>53</v>
      </c>
      <c r="F10" s="1">
        <v>20</v>
      </c>
      <c r="G10" s="1">
        <v>350</v>
      </c>
      <c r="H10" s="1">
        <v>7000</v>
      </c>
      <c r="I10" s="4">
        <v>20</v>
      </c>
      <c r="J10" s="4">
        <v>1</v>
      </c>
      <c r="K10" s="4">
        <f>H10/I10</f>
        <v>350</v>
      </c>
      <c r="L10" s="4">
        <v>20</v>
      </c>
      <c r="M10" s="4">
        <f t="shared" ref="M10:M25" si="3">L10*K10</f>
        <v>7000</v>
      </c>
      <c r="N10" s="4">
        <f>L10*J10</f>
        <v>20</v>
      </c>
      <c r="O10" t="s">
        <v>54</v>
      </c>
      <c r="P10" t="s">
        <v>55</v>
      </c>
    </row>
    <row r="11">
      <c r="A11" t="s">
        <v>56</v>
      </c>
      <c r="B11" t="s">
        <v>57</v>
      </c>
      <c r="C11">
        <v>4</v>
      </c>
      <c r="D11" s="3" t="s">
        <v>58</v>
      </c>
      <c r="I11" s="4"/>
      <c r="J11" s="4"/>
      <c r="K11" s="4"/>
      <c r="L11" s="4"/>
      <c r="M11" s="4">
        <f t="shared" si="3"/>
        <v>0</v>
      </c>
      <c r="N11" s="4"/>
    </row>
    <row r="12">
      <c r="A12" t="s">
        <v>59</v>
      </c>
      <c r="B12" t="s">
        <v>60</v>
      </c>
      <c r="C12">
        <v>4</v>
      </c>
      <c r="D12" s="3" t="s">
        <v>61</v>
      </c>
      <c r="I12" s="4"/>
      <c r="J12" s="4"/>
      <c r="K12" s="4"/>
      <c r="L12" s="4"/>
      <c r="M12" s="4">
        <f t="shared" si="3"/>
        <v>0</v>
      </c>
      <c r="N12" s="4"/>
    </row>
    <row r="13">
      <c r="A13" t="s">
        <v>62</v>
      </c>
      <c r="B13" t="s">
        <v>63</v>
      </c>
      <c r="C13">
        <v>1</v>
      </c>
      <c r="D13" s="3" t="s">
        <v>64</v>
      </c>
      <c r="F13" s="1">
        <v>5</v>
      </c>
      <c r="G13" s="1">
        <v>2500</v>
      </c>
      <c r="H13" s="1">
        <v>12500</v>
      </c>
      <c r="I13" s="4">
        <v>5</v>
      </c>
      <c r="J13" s="4">
        <v>1</v>
      </c>
      <c r="K13" s="4">
        <f t="shared" ref="K13:K25" si="4">H13/I13</f>
        <v>2500</v>
      </c>
      <c r="L13" s="4">
        <v>6</v>
      </c>
      <c r="M13" s="4">
        <f t="shared" si="3"/>
        <v>15000</v>
      </c>
      <c r="N13" s="4">
        <f t="shared" ref="N13:N25" si="5">L13*J13</f>
        <v>6</v>
      </c>
      <c r="O13" t="s">
        <v>65</v>
      </c>
      <c r="P13" t="s">
        <v>66</v>
      </c>
    </row>
    <row r="14">
      <c r="A14" t="s">
        <v>67</v>
      </c>
      <c r="B14" t="s">
        <v>22</v>
      </c>
      <c r="C14">
        <v>1</v>
      </c>
      <c r="D14" s="3" t="s">
        <v>68</v>
      </c>
      <c r="F14" s="1">
        <v>100</v>
      </c>
      <c r="G14" s="1">
        <v>200</v>
      </c>
      <c r="H14" s="1">
        <v>20000</v>
      </c>
      <c r="I14" s="4">
        <v>20</v>
      </c>
      <c r="J14" s="4">
        <v>5</v>
      </c>
      <c r="K14" s="4">
        <f t="shared" si="4"/>
        <v>1000</v>
      </c>
      <c r="L14" s="4">
        <v>20</v>
      </c>
      <c r="M14" s="4">
        <f t="shared" si="3"/>
        <v>20000</v>
      </c>
      <c r="N14" s="4">
        <f t="shared" si="5"/>
        <v>100</v>
      </c>
      <c r="O14" t="s">
        <v>69</v>
      </c>
      <c r="P14" t="s">
        <v>70</v>
      </c>
    </row>
    <row r="15">
      <c r="A15" t="s">
        <v>71</v>
      </c>
      <c r="B15" t="s">
        <v>22</v>
      </c>
      <c r="C15">
        <v>6</v>
      </c>
      <c r="D15" s="3">
        <v>33</v>
      </c>
      <c r="F15" s="1">
        <v>75</v>
      </c>
      <c r="G15" s="1">
        <v>125</v>
      </c>
      <c r="H15" s="1">
        <v>9375</v>
      </c>
      <c r="I15" s="4">
        <v>15</v>
      </c>
      <c r="J15" s="4">
        <v>5</v>
      </c>
      <c r="K15" s="4">
        <f t="shared" si="4"/>
        <v>625</v>
      </c>
      <c r="L15" s="4">
        <v>15</v>
      </c>
      <c r="M15" s="4">
        <f t="shared" si="3"/>
        <v>9375</v>
      </c>
      <c r="N15" s="4">
        <f t="shared" si="5"/>
        <v>75</v>
      </c>
      <c r="O15" t="s">
        <v>72</v>
      </c>
      <c r="P15" t="s">
        <v>73</v>
      </c>
    </row>
    <row r="16">
      <c r="A16" t="s">
        <v>74</v>
      </c>
      <c r="B16" t="s">
        <v>22</v>
      </c>
      <c r="C16">
        <v>2</v>
      </c>
      <c r="D16" s="3" t="s">
        <v>75</v>
      </c>
      <c r="F16" s="1">
        <v>75</v>
      </c>
      <c r="G16" s="1">
        <v>125</v>
      </c>
      <c r="H16" s="1">
        <v>9375</v>
      </c>
      <c r="I16" s="4">
        <v>15</v>
      </c>
      <c r="J16" s="4">
        <v>5</v>
      </c>
      <c r="K16" s="4">
        <f t="shared" si="4"/>
        <v>625</v>
      </c>
      <c r="L16" s="4">
        <v>15</v>
      </c>
      <c r="M16" s="4">
        <f t="shared" si="3"/>
        <v>9375</v>
      </c>
      <c r="N16" s="4">
        <f t="shared" si="5"/>
        <v>75</v>
      </c>
      <c r="O16" t="s">
        <v>76</v>
      </c>
      <c r="P16" t="s">
        <v>77</v>
      </c>
    </row>
    <row r="17">
      <c r="A17" t="s">
        <v>78</v>
      </c>
      <c r="B17" t="s">
        <v>22</v>
      </c>
      <c r="C17">
        <v>1</v>
      </c>
      <c r="D17" s="3">
        <v>0</v>
      </c>
      <c r="F17" s="1">
        <v>75</v>
      </c>
      <c r="G17" s="1">
        <v>125</v>
      </c>
      <c r="H17" s="1">
        <v>9375</v>
      </c>
      <c r="I17" s="4">
        <v>15</v>
      </c>
      <c r="J17" s="4">
        <v>5</v>
      </c>
      <c r="K17" s="4">
        <f t="shared" si="4"/>
        <v>625</v>
      </c>
      <c r="L17" s="4">
        <v>15</v>
      </c>
      <c r="M17" s="4">
        <f t="shared" si="3"/>
        <v>9375</v>
      </c>
      <c r="N17" s="4">
        <f t="shared" si="5"/>
        <v>75</v>
      </c>
      <c r="O17" t="s">
        <v>79</v>
      </c>
      <c r="P17" t="s">
        <v>80</v>
      </c>
    </row>
    <row r="18">
      <c r="A18" t="s">
        <v>81</v>
      </c>
      <c r="B18" t="s">
        <v>22</v>
      </c>
      <c r="C18">
        <v>1</v>
      </c>
      <c r="D18" s="3" t="s">
        <v>82</v>
      </c>
      <c r="F18" s="1">
        <v>75</v>
      </c>
      <c r="G18" s="1">
        <v>125</v>
      </c>
      <c r="H18" s="1">
        <v>9375</v>
      </c>
      <c r="I18" s="4">
        <v>15</v>
      </c>
      <c r="J18" s="4">
        <v>5</v>
      </c>
      <c r="K18" s="4">
        <f t="shared" si="4"/>
        <v>625</v>
      </c>
      <c r="L18" s="4">
        <v>15</v>
      </c>
      <c r="M18" s="4">
        <f t="shared" si="3"/>
        <v>9375</v>
      </c>
      <c r="N18" s="4">
        <f t="shared" si="5"/>
        <v>75</v>
      </c>
      <c r="O18" t="s">
        <v>83</v>
      </c>
      <c r="P18" t="s">
        <v>84</v>
      </c>
    </row>
    <row r="19">
      <c r="A19" t="s">
        <v>85</v>
      </c>
      <c r="B19" t="s">
        <v>22</v>
      </c>
      <c r="C19">
        <v>1</v>
      </c>
      <c r="D19" s="3" t="s">
        <v>86</v>
      </c>
      <c r="F19" s="1">
        <v>10</v>
      </c>
      <c r="G19" s="1">
        <v>200</v>
      </c>
      <c r="H19" s="1">
        <v>2000</v>
      </c>
      <c r="I19" s="4">
        <v>1</v>
      </c>
      <c r="J19" s="4">
        <v>10</v>
      </c>
      <c r="K19" s="4">
        <f t="shared" si="4"/>
        <v>2000</v>
      </c>
      <c r="L19" s="4">
        <v>10</v>
      </c>
      <c r="M19" s="4">
        <f t="shared" si="3"/>
        <v>20000</v>
      </c>
      <c r="N19" s="4">
        <f t="shared" si="5"/>
        <v>100</v>
      </c>
      <c r="O19" t="s">
        <v>87</v>
      </c>
      <c r="P19" t="s">
        <v>88</v>
      </c>
    </row>
    <row r="20">
      <c r="A20" t="s">
        <v>89</v>
      </c>
      <c r="B20" t="s">
        <v>90</v>
      </c>
      <c r="C20">
        <v>2</v>
      </c>
      <c r="D20" s="3" t="s">
        <v>91</v>
      </c>
      <c r="F20" s="1">
        <v>10</v>
      </c>
      <c r="G20" s="1">
        <v>753</v>
      </c>
      <c r="H20" s="1">
        <v>7530</v>
      </c>
      <c r="I20" s="4">
        <v>10</v>
      </c>
      <c r="J20" s="4">
        <v>1</v>
      </c>
      <c r="K20" s="4">
        <f t="shared" si="4"/>
        <v>753</v>
      </c>
      <c r="L20" s="4">
        <v>10</v>
      </c>
      <c r="M20" s="4">
        <f t="shared" si="3"/>
        <v>7530</v>
      </c>
      <c r="N20" s="4">
        <f t="shared" si="5"/>
        <v>10</v>
      </c>
      <c r="O20" t="s">
        <v>92</v>
      </c>
      <c r="P20" t="s">
        <v>93</v>
      </c>
    </row>
    <row r="21">
      <c r="A21" t="s">
        <v>94</v>
      </c>
      <c r="B21" t="s">
        <v>95</v>
      </c>
      <c r="C21">
        <v>1</v>
      </c>
      <c r="D21" s="3" t="s">
        <v>96</v>
      </c>
      <c r="F21" s="1">
        <v>1</v>
      </c>
      <c r="G21" s="1">
        <v>139000</v>
      </c>
      <c r="H21" s="1">
        <v>139000</v>
      </c>
      <c r="I21" s="4">
        <v>1</v>
      </c>
      <c r="J21" s="4">
        <v>1</v>
      </c>
      <c r="K21" s="4">
        <f t="shared" si="4"/>
        <v>139000</v>
      </c>
      <c r="L21" s="4">
        <v>1</v>
      </c>
      <c r="M21" s="4">
        <f t="shared" si="3"/>
        <v>139000</v>
      </c>
      <c r="N21" s="4">
        <f t="shared" si="5"/>
        <v>1</v>
      </c>
      <c r="O21" t="s">
        <v>97</v>
      </c>
      <c r="P21" t="s">
        <v>98</v>
      </c>
    </row>
    <row r="22">
      <c r="A22" t="s">
        <v>99</v>
      </c>
      <c r="B22" t="s">
        <v>100</v>
      </c>
      <c r="C22">
        <v>1</v>
      </c>
      <c r="D22" s="3" t="s">
        <v>101</v>
      </c>
      <c r="F22" s="1">
        <v>2</v>
      </c>
      <c r="G22" s="1">
        <v>3900</v>
      </c>
      <c r="H22" s="1">
        <v>7800</v>
      </c>
      <c r="I22" s="4">
        <v>2</v>
      </c>
      <c r="J22" s="4">
        <v>1</v>
      </c>
      <c r="K22" s="4">
        <f t="shared" si="4"/>
        <v>3900</v>
      </c>
      <c r="L22" s="4">
        <v>5</v>
      </c>
      <c r="M22" s="4">
        <f t="shared" si="3"/>
        <v>19500</v>
      </c>
      <c r="N22" s="4">
        <f t="shared" si="5"/>
        <v>5</v>
      </c>
      <c r="O22" t="s">
        <v>102</v>
      </c>
      <c r="P22" t="s">
        <v>103</v>
      </c>
    </row>
    <row r="23">
      <c r="A23" t="s">
        <v>104</v>
      </c>
      <c r="B23" t="s">
        <v>105</v>
      </c>
      <c r="C23">
        <v>2</v>
      </c>
      <c r="D23" s="3" t="s">
        <v>106</v>
      </c>
      <c r="F23" s="1">
        <v>1</v>
      </c>
      <c r="G23" s="1">
        <v>22000</v>
      </c>
      <c r="H23" s="1">
        <v>22000</v>
      </c>
      <c r="I23" s="4">
        <v>1</v>
      </c>
      <c r="J23" s="4">
        <v>1</v>
      </c>
      <c r="K23" s="4">
        <f t="shared" si="4"/>
        <v>22000</v>
      </c>
      <c r="L23" s="4">
        <v>2</v>
      </c>
      <c r="M23" s="4">
        <f t="shared" si="3"/>
        <v>44000</v>
      </c>
      <c r="N23" s="4">
        <f t="shared" si="5"/>
        <v>2</v>
      </c>
      <c r="O23" t="s">
        <v>107</v>
      </c>
      <c r="P23" t="s">
        <v>108</v>
      </c>
    </row>
    <row r="24">
      <c r="A24" t="s">
        <v>109</v>
      </c>
      <c r="B24" t="s">
        <v>110</v>
      </c>
      <c r="C24">
        <v>1</v>
      </c>
      <c r="D24" s="3" t="s">
        <v>111</v>
      </c>
      <c r="F24" s="1">
        <v>4</v>
      </c>
      <c r="G24" s="1">
        <v>4200</v>
      </c>
      <c r="H24" s="1">
        <v>16800</v>
      </c>
      <c r="I24" s="4">
        <v>4</v>
      </c>
      <c r="J24" s="4">
        <v>1</v>
      </c>
      <c r="K24" s="4">
        <f t="shared" si="4"/>
        <v>4200</v>
      </c>
      <c r="L24" s="4">
        <v>4</v>
      </c>
      <c r="M24" s="4">
        <f t="shared" si="3"/>
        <v>16800</v>
      </c>
      <c r="N24" s="4">
        <f t="shared" si="5"/>
        <v>4</v>
      </c>
      <c r="O24" t="s">
        <v>112</v>
      </c>
      <c r="P24" t="s">
        <v>113</v>
      </c>
    </row>
    <row r="25">
      <c r="A25" t="s">
        <v>114</v>
      </c>
      <c r="B25" t="s">
        <v>115</v>
      </c>
      <c r="C25">
        <v>1</v>
      </c>
      <c r="D25" s="3" t="s">
        <v>116</v>
      </c>
      <c r="F25" s="1">
        <v>1</v>
      </c>
      <c r="G25" s="1">
        <v>8500</v>
      </c>
      <c r="H25" s="1">
        <v>8500</v>
      </c>
      <c r="I25" s="4">
        <v>1</v>
      </c>
      <c r="J25" s="4">
        <v>1</v>
      </c>
      <c r="K25" s="4">
        <f t="shared" si="4"/>
        <v>8500</v>
      </c>
      <c r="L25" s="4">
        <v>4</v>
      </c>
      <c r="M25" s="4">
        <f t="shared" si="3"/>
        <v>34000</v>
      </c>
      <c r="N25" s="4">
        <f t="shared" si="5"/>
        <v>4</v>
      </c>
      <c r="O25" t="s">
        <v>117</v>
      </c>
      <c r="P25" t="s">
        <v>118</v>
      </c>
    </row>
    <row r="26">
      <c r="I26" s="4"/>
      <c r="J26" s="4"/>
      <c r="K26" s="4"/>
      <c r="L26" s="4"/>
      <c r="M26" s="6">
        <f>SUM(M2:M25)</f>
        <v>473375</v>
      </c>
      <c r="N26" s="6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2026-09-01T09:26:42Z</dcterms:modified>
</cp:coreProperties>
</file>