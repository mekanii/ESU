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<sst xmlns="http://schemas.openxmlformats.org/spreadsheetml/2006/main" count="49" uniqueCount="17">
  <si>
    <t>Bipolar Standard</t>
  </si>
  <si>
    <r>
      <t>R</t>
    </r>
    <r>
      <rPr>
        <sz val="6"/>
        <color theme="1"/>
        <rFont val="Calibri"/>
        <charset val="134"/>
        <scheme val="minor"/>
      </rPr>
      <t>LOAD</t>
    </r>
  </si>
  <si>
    <t>XF</t>
  </si>
  <si>
    <t>Original</t>
  </si>
  <si>
    <t>RE - Ferrite Core - P:4 S:20</t>
  </si>
  <si>
    <t>L</t>
  </si>
  <si>
    <t>RE - Air Core</t>
  </si>
  <si>
    <t>C</t>
  </si>
  <si>
    <t>#</t>
  </si>
  <si>
    <t>P</t>
  </si>
  <si>
    <r>
      <t>V</t>
    </r>
    <r>
      <rPr>
        <sz val="6"/>
        <color theme="1"/>
        <rFont val="Calibri"/>
        <charset val="134"/>
        <scheme val="minor"/>
      </rPr>
      <t>RMS</t>
    </r>
  </si>
  <si>
    <r>
      <t>AC</t>
    </r>
    <r>
      <rPr>
        <sz val="6"/>
        <color theme="1"/>
        <rFont val="Calibri"/>
        <charset val="134"/>
        <scheme val="minor"/>
      </rPr>
      <t>RMS</t>
    </r>
  </si>
  <si>
    <r>
      <t>V</t>
    </r>
    <r>
      <rPr>
        <sz val="6"/>
        <color theme="1"/>
        <rFont val="Calibri"/>
        <charset val="134"/>
        <scheme val="minor"/>
      </rPr>
      <t xml:space="preserve">RMS </t>
    </r>
    <r>
      <rPr>
        <sz val="9"/>
        <color theme="1"/>
        <rFont val="Calibri"/>
        <charset val="134"/>
        <scheme val="minor"/>
      </rPr>
      <t>/ R</t>
    </r>
  </si>
  <si>
    <r>
      <t>AC</t>
    </r>
    <r>
      <rPr>
        <sz val="6"/>
        <color theme="1"/>
        <rFont val="Calibri"/>
        <charset val="134"/>
        <scheme val="minor"/>
      </rPr>
      <t xml:space="preserve">RMS </t>
    </r>
    <r>
      <rPr>
        <sz val="10"/>
        <color theme="1"/>
        <rFont val="Calibri"/>
        <charset val="134"/>
        <scheme val="minor"/>
      </rPr>
      <t>/ R</t>
    </r>
  </si>
  <si>
    <t>Step</t>
  </si>
  <si>
    <t>Sama dengan ori</t>
  </si>
  <si>
    <t>Sama di step 100, distors di bawah step 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</si>
</sst>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_ "/>
  </numFmts>
  <fonts count="23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6"/>
      <color theme="1"/>
      <name val="Calibri"/>
      <charset val="134"/>
      <scheme val="minor"/>
    </font>
    <font>
      <sz val="9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9" applyNumberFormat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178" fontId="1" fillId="0" borderId="1" xfId="0" applyNumberFormat="1" applyFont="1" applyBorder="1">
      <alignment vertical="center"/>
    </xf>
    <xf numFmtId="178" fontId="1" fillId="0" borderId="0" xfId="0" applyNumberFormat="1" applyFont="1">
      <alignment vertical="center"/>
    </xf>
    <xf numFmtId="0" fontId="1" fillId="0" borderId="2" xfId="0" applyFont="1" applyBorder="1">
      <alignment vertical="center"/>
    </xf>
    <xf numFmtId="178" fontId="1" fillId="0" borderId="3" xfId="0" applyNumberFormat="1" applyFont="1" applyBorder="1">
      <alignment vertical="center"/>
    </xf>
    <xf numFmtId="178" fontId="1" fillId="0" borderId="2" xfId="0" applyNumberFormat="1" applyFont="1" applyBorder="1">
      <alignment vertical="center"/>
    </xf>
    <xf numFmtId="0" fontId="1" fillId="0" borderId="4" xfId="0" applyFont="1" applyBorder="1">
      <alignment vertical="center"/>
    </xf>
    <xf numFmtId="178" fontId="1" fillId="0" borderId="5" xfId="0" applyNumberFormat="1" applyFont="1" applyBorder="1">
      <alignment vertical="center"/>
    </xf>
    <xf numFmtId="178" fontId="1" fillId="0" borderId="4" xfId="0" applyNumberFormat="1" applyFont="1" applyBorder="1">
      <alignment vertical="center"/>
    </xf>
    <xf numFmtId="0" fontId="1" fillId="0" borderId="0" xfId="0" applyFont="1" applyBorder="1">
      <alignment vertical="center"/>
    </xf>
    <xf numFmtId="0" fontId="1" fillId="0" borderId="0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42"/>
  <sheetViews>
    <sheetView tabSelected="1" topLeftCell="D1" workbookViewId="0">
      <selection activeCell="V2" sqref="V2"/>
    </sheetView>
  </sheetViews>
  <sheetFormatPr defaultColWidth="9" defaultRowHeight="14.4"/>
  <cols>
    <col min="1" max="1" width="9" style="1"/>
    <col min="2" max="16" width="9" style="1" customWidth="1"/>
    <col min="17" max="16383" width="9" style="1"/>
  </cols>
  <sheetData>
    <row r="1" spans="1:1">
      <c r="A1" s="1" t="s">
        <v>0</v>
      </c>
    </row>
    <row r="2" ht="15" spans="1:2">
      <c r="A2" s="2" t="s">
        <v>1</v>
      </c>
      <c r="B2" s="1">
        <v>200</v>
      </c>
    </row>
    <row r="3" spans="1:1">
      <c r="A3" s="2"/>
    </row>
    <row r="4" spans="3:3">
      <c r="C4" s="2"/>
    </row>
    <row r="5" spans="2:18">
      <c r="B5" s="2" t="s">
        <v>2</v>
      </c>
      <c r="C5" s="1" t="s">
        <v>3</v>
      </c>
      <c r="G5" s="2" t="s">
        <v>2</v>
      </c>
      <c r="H5" s="1" t="s">
        <v>3</v>
      </c>
      <c r="L5" s="2" t="s">
        <v>2</v>
      </c>
      <c r="M5" s="1" t="s">
        <v>4</v>
      </c>
      <c r="Q5" s="2" t="s">
        <v>2</v>
      </c>
      <c r="R5" s="1" t="s">
        <v>4</v>
      </c>
    </row>
    <row r="6" spans="2:18">
      <c r="B6" s="2" t="s">
        <v>5</v>
      </c>
      <c r="C6" s="1" t="s">
        <v>3</v>
      </c>
      <c r="G6" s="2" t="s">
        <v>5</v>
      </c>
      <c r="H6" s="1" t="s">
        <v>6</v>
      </c>
      <c r="L6" s="2" t="s">
        <v>5</v>
      </c>
      <c r="M6" s="1" t="s">
        <v>6</v>
      </c>
      <c r="Q6" s="2" t="s">
        <v>5</v>
      </c>
      <c r="R6" s="1" t="s">
        <v>6</v>
      </c>
    </row>
    <row r="7" spans="2:18">
      <c r="B7" s="2" t="s">
        <v>7</v>
      </c>
      <c r="C7" s="1" t="s">
        <v>3</v>
      </c>
      <c r="G7" s="2" t="s">
        <v>7</v>
      </c>
      <c r="H7" s="1" t="s">
        <v>3</v>
      </c>
      <c r="L7" s="2" t="s">
        <v>7</v>
      </c>
      <c r="M7" s="1" t="s">
        <v>3</v>
      </c>
      <c r="Q7" s="2" t="s">
        <v>7</v>
      </c>
      <c r="R7" s="1" t="s">
        <v>3</v>
      </c>
    </row>
    <row r="8" spans="3:8">
      <c r="C8" s="2"/>
      <c r="G8" s="2"/>
      <c r="H8" s="2"/>
    </row>
    <row r="9" ht="17.55" spans="1:16383">
      <c r="A9" s="1" t="s">
        <v>8</v>
      </c>
      <c r="B9" s="1" t="s">
        <v>9</v>
      </c>
      <c r="C9" s="2" t="s">
        <v>10</v>
      </c>
      <c r="D9" s="2" t="s">
        <v>11</v>
      </c>
      <c r="E9" s="2" t="s">
        <v>12</v>
      </c>
      <c r="F9" s="6" t="s">
        <v>13</v>
      </c>
      <c r="G9" s="1" t="s">
        <v>14</v>
      </c>
      <c r="H9" s="2" t="s">
        <v>10</v>
      </c>
      <c r="I9" s="2" t="s">
        <v>11</v>
      </c>
      <c r="J9" s="2" t="s">
        <v>12</v>
      </c>
      <c r="K9" s="6" t="s">
        <v>13</v>
      </c>
      <c r="L9" s="9" t="s">
        <v>14</v>
      </c>
      <c r="M9" s="2" t="s">
        <v>10</v>
      </c>
      <c r="N9" s="2" t="s">
        <v>11</v>
      </c>
      <c r="O9" s="2" t="s">
        <v>12</v>
      </c>
      <c r="P9" s="6" t="s">
        <v>13</v>
      </c>
      <c r="Q9" s="9" t="s">
        <v>14</v>
      </c>
      <c r="R9" s="2" t="s">
        <v>10</v>
      </c>
      <c r="S9" s="2" t="s">
        <v>11</v>
      </c>
      <c r="T9" s="2" t="s">
        <v>12</v>
      </c>
      <c r="U9" s="12" t="s">
        <v>13</v>
      </c>
      <c r="V9" s="13"/>
      <c r="XFC9"/>
    </row>
    <row r="10" ht="16.8" spans="1:16383">
      <c r="A10" s="3">
        <v>1</v>
      </c>
      <c r="B10" s="3">
        <v>10</v>
      </c>
      <c r="C10" s="4">
        <v>1.5939</v>
      </c>
      <c r="D10" s="4"/>
      <c r="E10" s="4">
        <f>(POWER((C10*10),2))/$B$2</f>
        <v>1.270258605</v>
      </c>
      <c r="F10" s="7">
        <f>(POWER((D10*10),2))/$B$2</f>
        <v>0</v>
      </c>
      <c r="G10" s="4">
        <v>10</v>
      </c>
      <c r="H10" s="4">
        <v>0.0695</v>
      </c>
      <c r="I10" s="4">
        <v>0.0695</v>
      </c>
      <c r="J10" s="4">
        <f>(POWER((H10*10),2))/$B$2</f>
        <v>0.002415125</v>
      </c>
      <c r="K10" s="4">
        <f>(POWER((I10*10),2))/$B$2</f>
        <v>0.002415125</v>
      </c>
      <c r="L10" s="10">
        <v>10</v>
      </c>
      <c r="M10" s="4">
        <v>0.082</v>
      </c>
      <c r="N10" s="4">
        <v>0.082</v>
      </c>
      <c r="O10" s="4">
        <f>(POWER((M10*10),2))/$B$2</f>
        <v>0.003362</v>
      </c>
      <c r="P10" s="4">
        <f>(POWER((N10*10),2))/$B$2</f>
        <v>0.003362</v>
      </c>
      <c r="Q10" s="10">
        <v>10</v>
      </c>
      <c r="R10" s="4"/>
      <c r="S10" s="4"/>
      <c r="T10" s="4">
        <f>(POWER((R10*10),2))/$B$2</f>
        <v>0</v>
      </c>
      <c r="U10" s="4">
        <f>(POWER((S10*10),2))/$B$2</f>
        <v>0</v>
      </c>
      <c r="XFC10"/>
    </row>
    <row r="11" ht="16.8" spans="1:16383">
      <c r="A11" s="1">
        <v>2</v>
      </c>
      <c r="B11" s="1">
        <v>20</v>
      </c>
      <c r="C11" s="5">
        <v>2.2418</v>
      </c>
      <c r="D11" s="5"/>
      <c r="E11" s="5">
        <f>(POWER((C11*10),2))/$B$2</f>
        <v>2.51283362</v>
      </c>
      <c r="F11" s="8">
        <f>(POWER((D11*10),2))/$B$2</f>
        <v>0</v>
      </c>
      <c r="G11" s="5">
        <v>20</v>
      </c>
      <c r="H11" s="5">
        <v>0.7231</v>
      </c>
      <c r="I11" s="5">
        <v>0.7202</v>
      </c>
      <c r="J11" s="5">
        <f>(POWER((H11*10),2))/$B$2</f>
        <v>0.261436805</v>
      </c>
      <c r="K11" s="5">
        <f>(POWER((I11*10),2))/$B$2</f>
        <v>0.25934402</v>
      </c>
      <c r="L11" s="11">
        <v>20</v>
      </c>
      <c r="M11" s="5">
        <v>0.772</v>
      </c>
      <c r="N11" s="5">
        <v>0.772</v>
      </c>
      <c r="O11" s="5">
        <f>(POWER((M11*10),2))/$B$2</f>
        <v>0.297992</v>
      </c>
      <c r="P11" s="5">
        <f>(POWER((N11*10),2))/$B$2</f>
        <v>0.297992</v>
      </c>
      <c r="Q11" s="11">
        <v>20</v>
      </c>
      <c r="R11" s="5"/>
      <c r="S11" s="5"/>
      <c r="T11" s="5">
        <f>(POWER((R11*10),2))/$B$2</f>
        <v>0</v>
      </c>
      <c r="U11" s="5">
        <f>(POWER((S11*10),2))/$B$2</f>
        <v>0</v>
      </c>
      <c r="XFC11"/>
    </row>
    <row r="12" ht="16.8" spans="1:16383">
      <c r="A12" s="1">
        <v>3</v>
      </c>
      <c r="B12" s="1">
        <v>30</v>
      </c>
      <c r="C12" s="5">
        <v>2.8076</v>
      </c>
      <c r="D12" s="5"/>
      <c r="E12" s="5">
        <f>(POWER((C12*10),2))/$B$2</f>
        <v>3.94130888</v>
      </c>
      <c r="F12" s="8">
        <f>(POWER((D12*10),2))/$B$2</f>
        <v>0</v>
      </c>
      <c r="G12" s="5">
        <v>30</v>
      </c>
      <c r="H12" s="5">
        <v>1.2661</v>
      </c>
      <c r="I12" s="5">
        <v>1.2661</v>
      </c>
      <c r="J12" s="5">
        <f>(POWER((H12*10),2))/$B$2</f>
        <v>0.801504605</v>
      </c>
      <c r="K12" s="5">
        <f>(POWER((I12*10),2))/$B$2</f>
        <v>0.801504605</v>
      </c>
      <c r="L12" s="11">
        <v>30</v>
      </c>
      <c r="M12" s="5">
        <v>1.3145</v>
      </c>
      <c r="N12" s="5">
        <v>1.3144</v>
      </c>
      <c r="O12" s="5">
        <f>(POWER((M12*10),2))/$B$2</f>
        <v>0.863955125</v>
      </c>
      <c r="P12" s="5">
        <f>(POWER((N12*10),2))/$B$2</f>
        <v>0.86382368</v>
      </c>
      <c r="Q12" s="11">
        <v>30</v>
      </c>
      <c r="R12" s="5"/>
      <c r="S12" s="5"/>
      <c r="T12" s="5">
        <f>(POWER((R12*10),2))/$B$2</f>
        <v>0</v>
      </c>
      <c r="U12" s="5">
        <f>(POWER((S12*10),2))/$B$2</f>
        <v>0</v>
      </c>
      <c r="XFC12"/>
    </row>
    <row r="13" ht="16.8" spans="1:16383">
      <c r="A13" s="1">
        <v>4</v>
      </c>
      <c r="B13" s="1">
        <v>40</v>
      </c>
      <c r="C13" s="5">
        <v>3.3287</v>
      </c>
      <c r="D13" s="5"/>
      <c r="E13" s="5">
        <f>(POWER((C13*10),2))/$B$2</f>
        <v>5.540121845</v>
      </c>
      <c r="F13" s="8">
        <f>(POWER((D13*10),2))/$B$2</f>
        <v>0</v>
      </c>
      <c r="G13" s="5">
        <v>40</v>
      </c>
      <c r="H13" s="5">
        <v>1.6729</v>
      </c>
      <c r="I13" s="5">
        <v>1.6729</v>
      </c>
      <c r="J13" s="5">
        <f>(POWER((H13*10),2))/$B$2</f>
        <v>1.399297205</v>
      </c>
      <c r="K13" s="5">
        <f>(POWER((I13*10),2))/$B$2</f>
        <v>1.399297205</v>
      </c>
      <c r="L13" s="11">
        <v>40</v>
      </c>
      <c r="M13" s="5">
        <v>1.7103</v>
      </c>
      <c r="N13" s="5">
        <v>1.7103</v>
      </c>
      <c r="O13" s="5">
        <f>(POWER((M13*10),2))/$B$2</f>
        <v>1.462563045</v>
      </c>
      <c r="P13" s="5">
        <f>(POWER((N13*10),2))/$B$2</f>
        <v>1.462563045</v>
      </c>
      <c r="Q13" s="11">
        <v>40</v>
      </c>
      <c r="R13" s="5"/>
      <c r="S13" s="5"/>
      <c r="T13" s="5">
        <f>(POWER((R13*10),2))/$B$2</f>
        <v>0</v>
      </c>
      <c r="U13" s="5">
        <f>(POWER((S13*10),2))/$B$2</f>
        <v>0</v>
      </c>
      <c r="XFC13"/>
    </row>
    <row r="14" ht="16.8" spans="1:16383">
      <c r="A14" s="1">
        <v>5</v>
      </c>
      <c r="B14" s="1">
        <v>50</v>
      </c>
      <c r="C14" s="5">
        <v>3.6788</v>
      </c>
      <c r="D14" s="5"/>
      <c r="E14" s="5">
        <f>(POWER((C14*10),2))/$B$2</f>
        <v>6.76678472</v>
      </c>
      <c r="F14" s="8">
        <f>(POWER((D14*10),2))/$B$2</f>
        <v>0</v>
      </c>
      <c r="G14" s="5">
        <v>50</v>
      </c>
      <c r="H14" s="5">
        <v>2.0922</v>
      </c>
      <c r="I14" s="5">
        <v>2.0922</v>
      </c>
      <c r="J14" s="5">
        <f>(POWER((H14*10),2))/$B$2</f>
        <v>2.18865042</v>
      </c>
      <c r="K14" s="5">
        <f>(POWER((I14*10),2))/$B$2</f>
        <v>2.18865042</v>
      </c>
      <c r="L14" s="11">
        <v>50</v>
      </c>
      <c r="M14" s="5">
        <v>2.0816</v>
      </c>
      <c r="N14" s="5">
        <v>2.0816</v>
      </c>
      <c r="O14" s="5">
        <f>(POWER((M14*10),2))/$B$2</f>
        <v>2.16652928</v>
      </c>
      <c r="P14" s="5">
        <f>(POWER((N14*10),2))/$B$2</f>
        <v>2.16652928</v>
      </c>
      <c r="Q14" s="11">
        <v>50</v>
      </c>
      <c r="R14" s="5"/>
      <c r="S14" s="5"/>
      <c r="T14" s="5">
        <f>(POWER((R14*10),2))/$B$2</f>
        <v>0</v>
      </c>
      <c r="U14" s="5">
        <f>(POWER((S14*10),2))/$B$2</f>
        <v>0</v>
      </c>
      <c r="XFC14"/>
    </row>
    <row r="15" ht="16.8" spans="1:16383">
      <c r="A15" s="1">
        <v>6</v>
      </c>
      <c r="B15" s="1">
        <v>60</v>
      </c>
      <c r="C15" s="5">
        <v>4.1565</v>
      </c>
      <c r="D15" s="5"/>
      <c r="E15" s="5">
        <f>(POWER((C15*10),2))/$B$2</f>
        <v>8.638246125</v>
      </c>
      <c r="F15" s="8">
        <f>(POWER((D15*10),2))/$B$2</f>
        <v>0</v>
      </c>
      <c r="G15" s="5">
        <v>60</v>
      </c>
      <c r="H15" s="5">
        <v>2.6247</v>
      </c>
      <c r="I15" s="5">
        <v>2.6241</v>
      </c>
      <c r="J15" s="5">
        <f>(POWER((H15*10),2))/$B$2</f>
        <v>3.444525045</v>
      </c>
      <c r="K15" s="5">
        <f>(POWER((I15*10),2))/$B$2</f>
        <v>3.442950405</v>
      </c>
      <c r="L15" s="11">
        <v>60</v>
      </c>
      <c r="M15" s="5">
        <v>2.5857</v>
      </c>
      <c r="N15" s="5">
        <v>2.5857</v>
      </c>
      <c r="O15" s="5">
        <f>(POWER((M15*10),2))/$B$2</f>
        <v>3.342922245</v>
      </c>
      <c r="P15" s="5">
        <f>(POWER((N15*10),2))/$B$2</f>
        <v>3.342922245</v>
      </c>
      <c r="Q15" s="11">
        <v>60</v>
      </c>
      <c r="R15" s="5"/>
      <c r="S15" s="5"/>
      <c r="T15" s="5">
        <f>(POWER((R15*10),2))/$B$2</f>
        <v>0</v>
      </c>
      <c r="U15" s="5">
        <f>(POWER((S15*10),2))/$B$2</f>
        <v>0</v>
      </c>
      <c r="XFC15"/>
    </row>
    <row r="16" ht="16.8" spans="3:16383">
      <c r="C16" s="5"/>
      <c r="D16" s="5"/>
      <c r="E16" s="5"/>
      <c r="F16" s="8"/>
      <c r="G16" s="5">
        <v>70</v>
      </c>
      <c r="H16" s="5">
        <v>3.4092</v>
      </c>
      <c r="I16" s="5">
        <v>3.4085</v>
      </c>
      <c r="J16" s="5">
        <f>(POWER((H16*10),2))/$B$2</f>
        <v>5.81132232</v>
      </c>
      <c r="K16" s="5">
        <f>(POWER((I16*10),2))/$B$2</f>
        <v>5.808936125</v>
      </c>
      <c r="L16" s="11">
        <v>70</v>
      </c>
      <c r="M16" s="5">
        <v>3.0445</v>
      </c>
      <c r="N16" s="5">
        <v>3.0445</v>
      </c>
      <c r="O16" s="5">
        <f>(POWER((M16*10),2))/$B$2</f>
        <v>4.634490125</v>
      </c>
      <c r="P16" s="5">
        <f>(POWER((N16*10),2))/$B$2</f>
        <v>4.634490125</v>
      </c>
      <c r="Q16" s="11">
        <v>70</v>
      </c>
      <c r="R16" s="5"/>
      <c r="S16" s="5"/>
      <c r="T16" s="5">
        <f>(POWER((R16*10),2))/$B$2</f>
        <v>0</v>
      </c>
      <c r="U16" s="5">
        <f>(POWER((S16*10),2))/$B$2</f>
        <v>0</v>
      </c>
      <c r="XFC16"/>
    </row>
    <row r="17" ht="16.8" spans="3:16383">
      <c r="C17" s="5"/>
      <c r="D17" s="5"/>
      <c r="E17" s="5"/>
      <c r="F17" s="8"/>
      <c r="G17" s="5">
        <v>80</v>
      </c>
      <c r="H17" s="5">
        <v>3.9603</v>
      </c>
      <c r="I17" s="5">
        <v>3.9598</v>
      </c>
      <c r="J17" s="5">
        <f>(POWER((H17*10),2))/$B$2</f>
        <v>7.841988045</v>
      </c>
      <c r="K17" s="5">
        <f>(POWER((I17*10),2))/$B$2</f>
        <v>7.84000802</v>
      </c>
      <c r="L17" s="11">
        <v>80</v>
      </c>
      <c r="M17" s="5">
        <v>3.5013</v>
      </c>
      <c r="N17" s="5">
        <v>3.5008</v>
      </c>
      <c r="O17" s="5">
        <f>(POWER((M17*10),2))/$B$2</f>
        <v>6.129550845</v>
      </c>
      <c r="P17" s="5">
        <f>(POWER((N17*10),2))/$B$2</f>
        <v>6.12780032</v>
      </c>
      <c r="Q17" s="11">
        <v>80</v>
      </c>
      <c r="R17" s="5"/>
      <c r="S17" s="5"/>
      <c r="T17" s="5">
        <f>(POWER((R17*10),2))/$B$2</f>
        <v>0</v>
      </c>
      <c r="U17" s="5">
        <f>(POWER((S17*10),2))/$B$2</f>
        <v>0</v>
      </c>
      <c r="XFC17"/>
    </row>
    <row r="18" ht="16.8" spans="3:16383">
      <c r="C18" s="5"/>
      <c r="D18" s="5"/>
      <c r="E18" s="5"/>
      <c r="F18" s="8"/>
      <c r="G18" s="5">
        <v>90</v>
      </c>
      <c r="H18" s="5">
        <v>4.6266</v>
      </c>
      <c r="I18" s="5">
        <v>4.626</v>
      </c>
      <c r="J18" s="5">
        <f>(POWER((H18*10),2))/$B$2</f>
        <v>10.70271378</v>
      </c>
      <c r="K18" s="5">
        <f>(POWER((I18*10),2))/$B$2</f>
        <v>10.699938</v>
      </c>
      <c r="L18" s="11">
        <v>90</v>
      </c>
      <c r="M18" s="5">
        <v>4.0703</v>
      </c>
      <c r="N18" s="5">
        <v>4.0696</v>
      </c>
      <c r="O18" s="5">
        <f>(POWER((M18*10),2))/$B$2</f>
        <v>8.283671045</v>
      </c>
      <c r="P18" s="5">
        <f>(POWER((N18*10),2))/$B$2</f>
        <v>8.28082208</v>
      </c>
      <c r="Q18" s="11">
        <v>90</v>
      </c>
      <c r="R18" s="5"/>
      <c r="S18" s="5"/>
      <c r="T18" s="5">
        <f>(POWER((R18*10),2))/$B$2</f>
        <v>0</v>
      </c>
      <c r="U18" s="5">
        <f>(POWER((S18*10),2))/$B$2</f>
        <v>0</v>
      </c>
      <c r="XFC18"/>
    </row>
    <row r="19" ht="16.8" spans="3:16383">
      <c r="C19" s="5"/>
      <c r="D19" s="5"/>
      <c r="E19" s="5"/>
      <c r="F19" s="8"/>
      <c r="G19" s="5">
        <v>100</v>
      </c>
      <c r="H19" s="5">
        <v>5.3316</v>
      </c>
      <c r="I19" s="5">
        <v>5.331</v>
      </c>
      <c r="J19" s="5">
        <f>(POWER((H19*10),2))/$B$2</f>
        <v>14.21297928</v>
      </c>
      <c r="K19" s="5">
        <f>(POWER((I19*10),2))/$B$2</f>
        <v>14.2097805</v>
      </c>
      <c r="L19" s="11">
        <v>100</v>
      </c>
      <c r="M19" s="5">
        <v>4.5663</v>
      </c>
      <c r="N19" s="5">
        <v>4.5662</v>
      </c>
      <c r="O19" s="5">
        <f>(POWER((M19*10),2))/$B$2</f>
        <v>10.425547845</v>
      </c>
      <c r="P19" s="5">
        <f>(POWER((N19*10),2))/$B$2</f>
        <v>10.42509122</v>
      </c>
      <c r="Q19" s="11">
        <v>100</v>
      </c>
      <c r="R19" s="5"/>
      <c r="S19" s="5"/>
      <c r="T19" s="5">
        <f>(POWER((R19*10),2))/$B$2</f>
        <v>0</v>
      </c>
      <c r="U19" s="5">
        <f>(POWER((S19*10),2))/$B$2</f>
        <v>0</v>
      </c>
      <c r="XFC19"/>
    </row>
    <row r="21" spans="7:12">
      <c r="G21" s="1" t="s">
        <v>15</v>
      </c>
      <c r="L21" s="1" t="s">
        <v>16</v>
      </c>
    </row>
    <row r="27" spans="1:1">
      <c r="A27" s="2"/>
    </row>
    <row r="28" spans="1:1">
      <c r="A28" s="2"/>
    </row>
    <row r="29" spans="3:13">
      <c r="C29" s="2"/>
      <c r="D29" s="2"/>
      <c r="L29" s="2"/>
      <c r="M29" s="2"/>
    </row>
    <row r="30" spans="5:15">
      <c r="E30" s="5"/>
      <c r="F30" s="5"/>
      <c r="G30" s="5"/>
      <c r="H30" s="5"/>
      <c r="I30" s="5"/>
      <c r="J30" s="5"/>
      <c r="N30" s="5"/>
      <c r="O30" s="5"/>
    </row>
    <row r="31" spans="5:15">
      <c r="E31" s="5"/>
      <c r="F31" s="5"/>
      <c r="G31" s="5"/>
      <c r="H31" s="5"/>
      <c r="I31" s="5"/>
      <c r="J31" s="5"/>
      <c r="N31" s="5"/>
      <c r="O31" s="5"/>
    </row>
    <row r="32" spans="5:15">
      <c r="E32" s="5"/>
      <c r="F32" s="5"/>
      <c r="G32" s="5"/>
      <c r="H32" s="5"/>
      <c r="I32" s="5"/>
      <c r="J32" s="5"/>
      <c r="N32" s="5"/>
      <c r="O32" s="5"/>
    </row>
    <row r="33" spans="5:15">
      <c r="E33" s="5"/>
      <c r="F33" s="5"/>
      <c r="G33" s="5"/>
      <c r="H33" s="5"/>
      <c r="I33" s="5"/>
      <c r="J33" s="5"/>
      <c r="N33" s="5"/>
      <c r="O33" s="5"/>
    </row>
    <row r="34" spans="5:15">
      <c r="E34" s="5"/>
      <c r="F34" s="5"/>
      <c r="G34" s="5"/>
      <c r="H34" s="5"/>
      <c r="I34" s="5"/>
      <c r="J34" s="5"/>
      <c r="N34" s="5"/>
      <c r="O34" s="5"/>
    </row>
    <row r="35" spans="5:15">
      <c r="E35" s="5"/>
      <c r="F35" s="5"/>
      <c r="G35" s="5"/>
      <c r="H35" s="5"/>
      <c r="I35" s="5"/>
      <c r="J35" s="5"/>
      <c r="N35" s="5"/>
      <c r="O35" s="5"/>
    </row>
    <row r="36" spans="5:15">
      <c r="E36" s="5"/>
      <c r="F36" s="5"/>
      <c r="G36" s="5"/>
      <c r="H36" s="5"/>
      <c r="I36" s="5"/>
      <c r="J36" s="5"/>
      <c r="N36" s="5"/>
      <c r="O36" s="5"/>
    </row>
    <row r="37" spans="5:15">
      <c r="E37" s="5"/>
      <c r="F37" s="5"/>
      <c r="G37" s="5"/>
      <c r="H37" s="5"/>
      <c r="I37" s="5"/>
      <c r="J37" s="5"/>
      <c r="N37" s="5"/>
      <c r="O37" s="5"/>
    </row>
    <row r="38" spans="5:15">
      <c r="E38" s="5"/>
      <c r="F38" s="5"/>
      <c r="G38" s="5"/>
      <c r="H38" s="5"/>
      <c r="I38" s="5"/>
      <c r="J38" s="5"/>
      <c r="N38" s="5"/>
      <c r="O38" s="5"/>
    </row>
    <row r="39" spans="5:15">
      <c r="E39" s="5"/>
      <c r="F39" s="5"/>
      <c r="G39" s="5"/>
      <c r="H39" s="5"/>
      <c r="I39" s="5"/>
      <c r="J39" s="5"/>
      <c r="N39" s="5"/>
      <c r="O39" s="5"/>
    </row>
    <row r="41" spans="5:6">
      <c r="E41" s="5"/>
      <c r="F41" s="5"/>
    </row>
    <row r="42" spans="5:6">
      <c r="E42" s="5"/>
      <c r="F42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margabudi</dc:creator>
  <cp:lastModifiedBy>MM</cp:lastModifiedBy>
  <dcterms:created xsi:type="dcterms:W3CDTF">2025-07-03T10:58:40Z</dcterms:created>
  <dcterms:modified xsi:type="dcterms:W3CDTF">2025-07-04T11:38:34Z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BAB4140586F4BCB4F0FF65686F381A52_41</vt:lpwstr>
  </property>
  <property fmtid="{D5CDD505-2E9C-101B-9397-08002B2CF9AE}" pid="3" name="KSOProductBuildVer">
    <vt:lpwstr>1033-6.13.1.8709</vt:lpwstr>
  </property>
</Properties>
</file>