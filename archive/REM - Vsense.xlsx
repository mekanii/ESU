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margabudi/Documents/hardware/ESU/archive/"/>
    </mc:Choice>
  </mc:AlternateContent>
  <xr:revisionPtr revIDLastSave="0" documentId="13_ncr:1_{57BBAD44-A418-6840-9D6F-47C3735D38F1}" xr6:coauthVersionLast="47" xr6:coauthVersionMax="47" xr10:uidLastSave="{00000000-0000-0000-0000-000000000000}"/>
  <bookViews>
    <workbookView xWindow="0" yWindow="600" windowWidth="33600" windowHeight="2040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6" r:id="rId5"/>
    <sheet name="REM-7.0 CUT 1" sheetId="7" r:id="rId6"/>
    <sheet name="REM-7.0 CUT 2" sheetId="8" r:id="rId7"/>
    <sheet name="REM-7.0 CUT 3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F3" i="3"/>
  <c r="E3" i="3"/>
  <c r="D3" i="3"/>
  <c r="G2" i="3"/>
  <c r="F2" i="3"/>
  <c r="E2" i="3"/>
  <c r="D2" i="3"/>
  <c r="G74" i="2"/>
  <c r="G73" i="2"/>
  <c r="C73" i="2"/>
  <c r="G72" i="2"/>
  <c r="C72" i="2"/>
  <c r="G71" i="2"/>
  <c r="C71" i="2"/>
  <c r="G70" i="2"/>
  <c r="C70" i="2"/>
  <c r="G69" i="2"/>
  <c r="C69" i="2"/>
  <c r="G68" i="2"/>
  <c r="C68" i="2"/>
  <c r="G67" i="2"/>
  <c r="C67" i="2"/>
  <c r="G66" i="2"/>
  <c r="C66" i="2"/>
  <c r="G65" i="2"/>
  <c r="C65" i="2"/>
  <c r="G64" i="2"/>
  <c r="C64" i="2"/>
  <c r="G63" i="2"/>
  <c r="C63" i="2"/>
  <c r="G62" i="2"/>
  <c r="C62" i="2"/>
  <c r="G61" i="2"/>
  <c r="C61" i="2"/>
  <c r="G60" i="2"/>
  <c r="C60" i="2"/>
  <c r="G59" i="2"/>
  <c r="C59" i="2"/>
  <c r="G58" i="2"/>
  <c r="C58" i="2"/>
  <c r="G57" i="2"/>
  <c r="C57" i="2"/>
  <c r="G56" i="2"/>
  <c r="C56" i="2"/>
  <c r="G55" i="2"/>
  <c r="C55" i="2"/>
  <c r="G54" i="2"/>
  <c r="C54" i="2"/>
  <c r="G53" i="2"/>
  <c r="G51" i="2"/>
  <c r="G48" i="2"/>
  <c r="C48" i="2"/>
  <c r="G47" i="2"/>
  <c r="C47" i="2"/>
  <c r="G46" i="2"/>
  <c r="C46" i="2"/>
  <c r="G45" i="2"/>
  <c r="C45" i="2"/>
  <c r="G44" i="2"/>
  <c r="C44" i="2"/>
  <c r="G43" i="2"/>
  <c r="C43" i="2"/>
  <c r="G42" i="2"/>
  <c r="C42" i="2"/>
  <c r="G41" i="2"/>
  <c r="C41" i="2"/>
  <c r="G40" i="2"/>
  <c r="C40" i="2"/>
  <c r="G39" i="2"/>
  <c r="C39" i="2"/>
  <c r="G38" i="2"/>
  <c r="C38" i="2"/>
  <c r="G37" i="2"/>
  <c r="C37" i="2"/>
  <c r="G36" i="2"/>
  <c r="C36" i="2"/>
  <c r="G35" i="2"/>
  <c r="C35" i="2"/>
  <c r="G34" i="2"/>
  <c r="C34" i="2"/>
  <c r="G33" i="2"/>
  <c r="C33" i="2"/>
  <c r="G32" i="2"/>
  <c r="C32" i="2"/>
  <c r="G31" i="2"/>
  <c r="C31" i="2"/>
  <c r="G30" i="2"/>
  <c r="C30" i="2"/>
  <c r="G29" i="2"/>
  <c r="C29" i="2"/>
  <c r="G28" i="2"/>
  <c r="G26" i="2"/>
  <c r="G23" i="2"/>
  <c r="C23" i="2"/>
  <c r="G22" i="2"/>
  <c r="C22" i="2"/>
  <c r="G21" i="2"/>
  <c r="C21" i="2"/>
  <c r="G20" i="2"/>
  <c r="C20" i="2"/>
  <c r="G19" i="2"/>
  <c r="C19" i="2"/>
  <c r="G18" i="2"/>
  <c r="C18" i="2"/>
  <c r="G17" i="2"/>
  <c r="C17" i="2"/>
  <c r="G16" i="2"/>
  <c r="C16" i="2"/>
  <c r="G15" i="2"/>
  <c r="C15" i="2"/>
  <c r="G14" i="2"/>
  <c r="C14" i="2"/>
  <c r="G13" i="2"/>
  <c r="C13" i="2"/>
  <c r="G12" i="2"/>
  <c r="C12" i="2"/>
  <c r="G11" i="2"/>
  <c r="C11" i="2"/>
  <c r="G10" i="2"/>
  <c r="C10" i="2"/>
  <c r="G9" i="2"/>
  <c r="C9" i="2"/>
  <c r="G8" i="2"/>
  <c r="C8" i="2"/>
  <c r="G7" i="2"/>
  <c r="C7" i="2"/>
  <c r="G6" i="2"/>
  <c r="C6" i="2"/>
  <c r="G5" i="2"/>
  <c r="C5" i="2"/>
  <c r="G4" i="2"/>
  <c r="C4" i="2"/>
  <c r="G3" i="2"/>
  <c r="G1" i="2"/>
  <c r="G74" i="1"/>
  <c r="G73" i="1"/>
  <c r="C73" i="1"/>
  <c r="G72" i="1"/>
  <c r="C72" i="1"/>
  <c r="G71" i="1"/>
  <c r="C71" i="1"/>
  <c r="G70" i="1"/>
  <c r="C70" i="1"/>
  <c r="G69" i="1"/>
  <c r="C69" i="1"/>
  <c r="G68" i="1"/>
  <c r="C68" i="1"/>
  <c r="G67" i="1"/>
  <c r="C67" i="1"/>
  <c r="G66" i="1"/>
  <c r="C66" i="1"/>
  <c r="G65" i="1"/>
  <c r="C65" i="1"/>
  <c r="G64" i="1"/>
  <c r="C64" i="1"/>
  <c r="G63" i="1"/>
  <c r="C63" i="1"/>
  <c r="G62" i="1"/>
  <c r="C62" i="1"/>
  <c r="O61" i="1"/>
  <c r="G61" i="1"/>
  <c r="C61" i="1"/>
  <c r="P60" i="1"/>
  <c r="O60" i="1"/>
  <c r="G60" i="1"/>
  <c r="C60" i="1"/>
  <c r="G59" i="1"/>
  <c r="C59" i="1"/>
  <c r="G58" i="1"/>
  <c r="C58" i="1"/>
  <c r="G57" i="1"/>
  <c r="C57" i="1"/>
  <c r="G56" i="1"/>
  <c r="C56" i="1"/>
  <c r="G55" i="1"/>
  <c r="C55" i="1"/>
  <c r="G54" i="1"/>
  <c r="C54" i="1"/>
  <c r="G53" i="1"/>
  <c r="G51" i="1"/>
  <c r="G48" i="1"/>
  <c r="C48" i="1"/>
  <c r="G47" i="1"/>
  <c r="C47" i="1"/>
  <c r="G46" i="1"/>
  <c r="C46" i="1"/>
  <c r="G45" i="1"/>
  <c r="C45" i="1"/>
  <c r="G44" i="1"/>
  <c r="C44" i="1"/>
  <c r="G43" i="1"/>
  <c r="C43" i="1"/>
  <c r="G42" i="1"/>
  <c r="C42" i="1"/>
  <c r="G41" i="1"/>
  <c r="C41" i="1"/>
  <c r="G40" i="1"/>
  <c r="C40" i="1"/>
  <c r="G39" i="1"/>
  <c r="C39" i="1"/>
  <c r="G38" i="1"/>
  <c r="C38" i="1"/>
  <c r="G37" i="1"/>
  <c r="C37" i="1"/>
  <c r="G36" i="1"/>
  <c r="C36" i="1"/>
  <c r="G35" i="1"/>
  <c r="C35" i="1"/>
  <c r="G34" i="1"/>
  <c r="C34" i="1"/>
  <c r="G33" i="1"/>
  <c r="C33" i="1"/>
  <c r="G32" i="1"/>
  <c r="C32" i="1"/>
  <c r="G31" i="1"/>
  <c r="C31" i="1"/>
  <c r="G30" i="1"/>
  <c r="C30" i="1"/>
  <c r="G29" i="1"/>
  <c r="C29" i="1"/>
  <c r="G28" i="1"/>
  <c r="G26" i="1"/>
  <c r="G23" i="1"/>
  <c r="C23" i="1"/>
  <c r="G22" i="1"/>
  <c r="C22" i="1"/>
  <c r="G21" i="1"/>
  <c r="C21" i="1"/>
  <c r="G20" i="1"/>
  <c r="C20" i="1"/>
  <c r="G19" i="1"/>
  <c r="C19" i="1"/>
  <c r="G18" i="1"/>
  <c r="C18" i="1"/>
  <c r="G17" i="1"/>
  <c r="C17" i="1"/>
  <c r="G16" i="1"/>
  <c r="C16" i="1"/>
  <c r="G15" i="1"/>
  <c r="C15" i="1"/>
  <c r="G14" i="1"/>
  <c r="C14" i="1"/>
  <c r="G13" i="1"/>
  <c r="C13" i="1"/>
  <c r="G12" i="1"/>
  <c r="C12" i="1"/>
  <c r="G11" i="1"/>
  <c r="C11" i="1"/>
  <c r="G10" i="1"/>
  <c r="C10" i="1"/>
  <c r="G9" i="1"/>
  <c r="C9" i="1"/>
  <c r="G8" i="1"/>
  <c r="C8" i="1"/>
  <c r="G7" i="1"/>
  <c r="C7" i="1"/>
  <c r="G6" i="1"/>
  <c r="C6" i="1"/>
  <c r="G5" i="1"/>
  <c r="C5" i="1"/>
  <c r="G4" i="1"/>
  <c r="C4" i="1"/>
  <c r="G3" i="1"/>
  <c r="G1" i="1"/>
</calcChain>
</file>

<file path=xl/sharedStrings.xml><?xml version="1.0" encoding="utf-8"?>
<sst xmlns="http://schemas.openxmlformats.org/spreadsheetml/2006/main" count="60" uniqueCount="16">
  <si>
    <t>R</t>
  </si>
  <si>
    <r>
      <rPr>
        <sz val="11"/>
        <color theme="1"/>
        <rFont val="Calibri"/>
        <charset val="134"/>
        <scheme val="minor"/>
      </rPr>
      <t>V</t>
    </r>
    <r>
      <rPr>
        <vertAlign val="subscript"/>
        <sz val="11"/>
        <color theme="1"/>
        <rFont val="Calibri"/>
        <charset val="134"/>
        <scheme val="minor"/>
      </rPr>
      <t>RMS</t>
    </r>
  </si>
  <si>
    <r>
      <rPr>
        <sz val="11"/>
        <color theme="1"/>
        <rFont val="Calibri"/>
        <charset val="134"/>
        <scheme val="minor"/>
      </rPr>
      <t>V</t>
    </r>
    <r>
      <rPr>
        <vertAlign val="subscript"/>
        <sz val="11"/>
        <color theme="1"/>
        <rFont val="Calibri"/>
        <charset val="134"/>
        <scheme val="minor"/>
      </rPr>
      <t>max</t>
    </r>
  </si>
  <si>
    <r>
      <rPr>
        <sz val="11"/>
        <color theme="1"/>
        <rFont val="Calibri"/>
        <charset val="134"/>
        <scheme val="minor"/>
      </rPr>
      <t>V</t>
    </r>
    <r>
      <rPr>
        <vertAlign val="subscript"/>
        <sz val="11"/>
        <color theme="1"/>
        <rFont val="Calibri"/>
        <charset val="134"/>
        <scheme val="minor"/>
      </rPr>
      <t>min</t>
    </r>
  </si>
  <si>
    <t>Swing</t>
  </si>
  <si>
    <t>ADC</t>
  </si>
  <si>
    <t>High Z</t>
  </si>
  <si>
    <t>R1</t>
  </si>
  <si>
    <t>R2</t>
  </si>
  <si>
    <t>C</t>
  </si>
  <si>
    <t>f</t>
  </si>
  <si>
    <t>w/o</t>
  </si>
  <si>
    <t>w/</t>
  </si>
  <si>
    <t>REM Test Results Under Varying Input Resistance</t>
  </si>
  <si>
    <t>R [Ω]</t>
  </si>
  <si>
    <t>P 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</si>
</sst>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0.0000_ "/>
    <numFmt numFmtId="167" formatCode="0.0000"/>
    <numFmt numFmtId="168" formatCode="0.0000000000000000"/>
  </numFmts>
  <fonts count="4" x14ac:knownFonts="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vertAlign val="subscript"/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2" fontId="0" fillId="0" borderId="0" xfId="0" applyNumberFormat="1">
      <alignment vertical="center"/>
    </xf>
    <xf numFmtId="166" fontId="0" fillId="0" borderId="0" xfId="0" applyNumberFormat="1">
      <alignment vertical="center"/>
    </xf>
    <xf numFmtId="167" fontId="0" fillId="0" borderId="0" xfId="0" applyNumberFormat="1">
      <alignment vertical="center"/>
    </xf>
    <xf numFmtId="168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3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right" vertical="top"/>
    </xf>
    <xf numFmtId="0" fontId="0" fillId="2" borderId="2" xfId="0" applyFill="1" applyBorder="1" applyAlignment="1">
      <alignment horizontal="right" vertical="top"/>
    </xf>
    <xf numFmtId="0" fontId="0" fillId="2" borderId="0" xfId="0" applyFill="1" applyAlignment="1">
      <alignment horizontal="center" vertical="center"/>
    </xf>
    <xf numFmtId="0" fontId="1" fillId="2" borderId="0" xfId="0" applyFont="1" applyFill="1">
      <alignment vertical="center"/>
    </xf>
    <xf numFmtId="0" fontId="0" fillId="2" borderId="4" xfId="0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</a:t>
            </a:r>
            <a:r>
              <a:rPr lang="en-US" baseline="-25000"/>
              <a:t>RMS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VRMS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Sheet1!$B$3:$B$23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Sheet1!$D$3:$D$23</c:f>
              <c:numCache>
                <c:formatCode>0.0000_ </c:formatCode>
                <c:ptCount val="21"/>
                <c:pt idx="0">
                  <c:v>2.0333999999999999</c:v>
                </c:pt>
                <c:pt idx="1">
                  <c:v>2.3066</c:v>
                </c:pt>
                <c:pt idx="2">
                  <c:v>2.4327000000000001</c:v>
                </c:pt>
                <c:pt idx="3">
                  <c:v>2.5017</c:v>
                </c:pt>
                <c:pt idx="4">
                  <c:v>2.5428000000000002</c:v>
                </c:pt>
                <c:pt idx="5">
                  <c:v>2.5718999999999999</c:v>
                </c:pt>
                <c:pt idx="6">
                  <c:v>2.5909</c:v>
                </c:pt>
                <c:pt idx="7">
                  <c:v>2.6049000000000002</c:v>
                </c:pt>
                <c:pt idx="8">
                  <c:v>2.6166</c:v>
                </c:pt>
                <c:pt idx="9">
                  <c:v>2.6257999999999999</c:v>
                </c:pt>
                <c:pt idx="10">
                  <c:v>2.6337999999999999</c:v>
                </c:pt>
                <c:pt idx="11">
                  <c:v>2.6402999999999999</c:v>
                </c:pt>
                <c:pt idx="12">
                  <c:v>2.6456</c:v>
                </c:pt>
                <c:pt idx="13">
                  <c:v>2.6503000000000001</c:v>
                </c:pt>
                <c:pt idx="14">
                  <c:v>2.6545000000000001</c:v>
                </c:pt>
                <c:pt idx="15">
                  <c:v>2.6581999999999999</c:v>
                </c:pt>
                <c:pt idx="16">
                  <c:v>2.6608999999999998</c:v>
                </c:pt>
                <c:pt idx="17">
                  <c:v>2.6633</c:v>
                </c:pt>
                <c:pt idx="18">
                  <c:v>2.6655000000000002</c:v>
                </c:pt>
                <c:pt idx="19">
                  <c:v>2.6682000000000001</c:v>
                </c:pt>
                <c:pt idx="20">
                  <c:v>2.6701999999999999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37-BA45-AA64-89C06E908EB5}"/>
            </c:ext>
          </c:extLst>
        </c:ser>
        <c:ser>
          <c:idx val="1"/>
          <c:order val="1"/>
          <c:tx>
            <c:strRef>
              <c:f>Sheet1!$D$27</c:f>
              <c:strCache>
                <c:ptCount val="1"/>
                <c:pt idx="0">
                  <c:v>VRMS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Sheet1!$B$3:$B$23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Sheet1!$D$28:$D$48</c:f>
              <c:numCache>
                <c:formatCode>0.0000</c:formatCode>
                <c:ptCount val="21"/>
                <c:pt idx="0">
                  <c:v>2.0087000000000002</c:v>
                </c:pt>
                <c:pt idx="1">
                  <c:v>2.2576000000000001</c:v>
                </c:pt>
                <c:pt idx="2">
                  <c:v>2.3702000000000001</c:v>
                </c:pt>
                <c:pt idx="3">
                  <c:v>2.4262999999999999</c:v>
                </c:pt>
                <c:pt idx="4">
                  <c:v>2.4649999999999999</c:v>
                </c:pt>
                <c:pt idx="5">
                  <c:v>2.4889000000000001</c:v>
                </c:pt>
                <c:pt idx="6">
                  <c:v>2.5059</c:v>
                </c:pt>
                <c:pt idx="7">
                  <c:v>2.5198</c:v>
                </c:pt>
                <c:pt idx="8">
                  <c:v>2.5312000000000001</c:v>
                </c:pt>
                <c:pt idx="9">
                  <c:v>2.5402</c:v>
                </c:pt>
                <c:pt idx="10">
                  <c:v>2.5463</c:v>
                </c:pt>
                <c:pt idx="11">
                  <c:v>2.5516000000000001</c:v>
                </c:pt>
                <c:pt idx="12">
                  <c:v>2.5565000000000002</c:v>
                </c:pt>
                <c:pt idx="13">
                  <c:v>2.5600999999999998</c:v>
                </c:pt>
                <c:pt idx="14">
                  <c:v>2.5657999999999999</c:v>
                </c:pt>
                <c:pt idx="15">
                  <c:v>2.5674000000000001</c:v>
                </c:pt>
                <c:pt idx="16">
                  <c:v>2.5714999999999999</c:v>
                </c:pt>
                <c:pt idx="17">
                  <c:v>2.5728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37-BA45-AA64-89C06E908EB5}"/>
            </c:ext>
          </c:extLst>
        </c:ser>
        <c:ser>
          <c:idx val="2"/>
          <c:order val="2"/>
          <c:tx>
            <c:strRef>
              <c:f>Sheet1!$D$52</c:f>
              <c:strCache>
                <c:ptCount val="1"/>
                <c:pt idx="0">
                  <c:v>VRMS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Sheet1!$B$3:$B$23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Sheet1!$D$53:$D$73</c:f>
              <c:numCache>
                <c:formatCode>0.0000_ </c:formatCode>
                <c:ptCount val="21"/>
                <c:pt idx="0">
                  <c:v>2.0516999999999999</c:v>
                </c:pt>
                <c:pt idx="1">
                  <c:v>2.3736000000000002</c:v>
                </c:pt>
                <c:pt idx="2">
                  <c:v>2.5124</c:v>
                </c:pt>
                <c:pt idx="3">
                  <c:v>2.5869</c:v>
                </c:pt>
                <c:pt idx="4">
                  <c:v>2.6324999999999998</c:v>
                </c:pt>
                <c:pt idx="5">
                  <c:v>2.6621000000000001</c:v>
                </c:pt>
                <c:pt idx="6">
                  <c:v>2.6844999999999999</c:v>
                </c:pt>
                <c:pt idx="7">
                  <c:v>2.6987000000000001</c:v>
                </c:pt>
                <c:pt idx="8">
                  <c:v>2.7098</c:v>
                </c:pt>
                <c:pt idx="9">
                  <c:v>2.7170000000000001</c:v>
                </c:pt>
                <c:pt idx="10">
                  <c:v>2.7231999999999998</c:v>
                </c:pt>
                <c:pt idx="11">
                  <c:v>2.7288999999999999</c:v>
                </c:pt>
                <c:pt idx="12">
                  <c:v>2.7328000000000001</c:v>
                </c:pt>
                <c:pt idx="13">
                  <c:v>2.7357999999999998</c:v>
                </c:pt>
                <c:pt idx="14">
                  <c:v>2.7385000000000002</c:v>
                </c:pt>
                <c:pt idx="15">
                  <c:v>2.7406999999999999</c:v>
                </c:pt>
                <c:pt idx="16">
                  <c:v>2.7435999999999998</c:v>
                </c:pt>
                <c:pt idx="17">
                  <c:v>2.7444999999999999</c:v>
                </c:pt>
                <c:pt idx="18">
                  <c:v>2.7448999999999999</c:v>
                </c:pt>
                <c:pt idx="19">
                  <c:v>2.7464</c:v>
                </c:pt>
                <c:pt idx="20">
                  <c:v>2.7477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37-BA45-AA64-89C06E908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763776"/>
        <c:axId val="1112759296"/>
      </c:scatterChart>
      <c:valAx>
        <c:axId val="1112763776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59296"/>
        <c:crosses val="autoZero"/>
        <c:crossBetween val="midCat"/>
        <c:majorUnit val="50"/>
      </c:valAx>
      <c:valAx>
        <c:axId val="1112759296"/>
        <c:scaling>
          <c:orientation val="minMax"/>
          <c:max val="2.8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6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462f681-6c57-4df1-81e6-f8661d0b17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</a:t>
            </a:r>
            <a:r>
              <a:rPr lang="en-US" baseline="-25000"/>
              <a:t>RMS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Sheet2!$D$2</c:f>
              <c:strCache>
                <c:ptCount val="1"/>
                <c:pt idx="0">
                  <c:v>VRMS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Sheet2!$B$3:$B$23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Sheet2!$D$3:$D$23</c:f>
              <c:numCache>
                <c:formatCode>0.0000_ </c:formatCode>
                <c:ptCount val="21"/>
                <c:pt idx="0">
                  <c:v>3.3399999999999902E-2</c:v>
                </c:pt>
                <c:pt idx="1">
                  <c:v>0.30659999999999998</c:v>
                </c:pt>
                <c:pt idx="2">
                  <c:v>0.43269999999999997</c:v>
                </c:pt>
                <c:pt idx="3">
                  <c:v>0.50170000000000003</c:v>
                </c:pt>
                <c:pt idx="4">
                  <c:v>0.54279999999999995</c:v>
                </c:pt>
                <c:pt idx="5">
                  <c:v>0.57189999999999996</c:v>
                </c:pt>
                <c:pt idx="6">
                  <c:v>0.59089999999999998</c:v>
                </c:pt>
                <c:pt idx="7">
                  <c:v>0.60489999999999999</c:v>
                </c:pt>
                <c:pt idx="8">
                  <c:v>0.61660000000000004</c:v>
                </c:pt>
                <c:pt idx="9">
                  <c:v>0.62580000000000002</c:v>
                </c:pt>
                <c:pt idx="10">
                  <c:v>0.63380000000000003</c:v>
                </c:pt>
                <c:pt idx="11">
                  <c:v>0.64029999999999998</c:v>
                </c:pt>
                <c:pt idx="12">
                  <c:v>0.64559999999999995</c:v>
                </c:pt>
                <c:pt idx="13">
                  <c:v>0.65029999999999999</c:v>
                </c:pt>
                <c:pt idx="14">
                  <c:v>0.65449999999999997</c:v>
                </c:pt>
                <c:pt idx="15">
                  <c:v>0.65820000000000001</c:v>
                </c:pt>
                <c:pt idx="16">
                  <c:v>0.66090000000000004</c:v>
                </c:pt>
                <c:pt idx="17">
                  <c:v>0.6633</c:v>
                </c:pt>
                <c:pt idx="18">
                  <c:v>0.66549999999999998</c:v>
                </c:pt>
                <c:pt idx="19">
                  <c:v>0.66820000000000002</c:v>
                </c:pt>
                <c:pt idx="20">
                  <c:v>0.67020000000000002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DE-1445-B223-EB18B44ED8E5}"/>
            </c:ext>
          </c:extLst>
        </c:ser>
        <c:ser>
          <c:idx val="1"/>
          <c:order val="1"/>
          <c:tx>
            <c:strRef>
              <c:f>Sheet2!$D$27</c:f>
              <c:strCache>
                <c:ptCount val="1"/>
                <c:pt idx="0">
                  <c:v>VRMS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Sheet2!$B$3:$B$23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Sheet2!$D$28:$D$48</c:f>
              <c:numCache>
                <c:formatCode>0.0000</c:formatCode>
                <c:ptCount val="21"/>
                <c:pt idx="0">
                  <c:v>8.7000000000001503E-3</c:v>
                </c:pt>
                <c:pt idx="1">
                  <c:v>0.2576</c:v>
                </c:pt>
                <c:pt idx="2">
                  <c:v>0.37019999999999997</c:v>
                </c:pt>
                <c:pt idx="3">
                  <c:v>0.42630000000000001</c:v>
                </c:pt>
                <c:pt idx="4">
                  <c:v>0.46500000000000002</c:v>
                </c:pt>
                <c:pt idx="5">
                  <c:v>0.4889</c:v>
                </c:pt>
                <c:pt idx="6">
                  <c:v>0.50590000000000002</c:v>
                </c:pt>
                <c:pt idx="7">
                  <c:v>0.51980000000000004</c:v>
                </c:pt>
                <c:pt idx="8">
                  <c:v>0.53120000000000001</c:v>
                </c:pt>
                <c:pt idx="9">
                  <c:v>0.54020000000000001</c:v>
                </c:pt>
                <c:pt idx="10">
                  <c:v>0.54630000000000001</c:v>
                </c:pt>
                <c:pt idx="11">
                  <c:v>0.55159999999999998</c:v>
                </c:pt>
                <c:pt idx="12">
                  <c:v>0.55649999999999999</c:v>
                </c:pt>
                <c:pt idx="13">
                  <c:v>0.56010000000000004</c:v>
                </c:pt>
                <c:pt idx="14">
                  <c:v>0.56579999999999997</c:v>
                </c:pt>
                <c:pt idx="15">
                  <c:v>0.56740000000000002</c:v>
                </c:pt>
                <c:pt idx="16">
                  <c:v>0.57150000000000001</c:v>
                </c:pt>
                <c:pt idx="17">
                  <c:v>0.57279999999999998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DE-1445-B223-EB18B44ED8E5}"/>
            </c:ext>
          </c:extLst>
        </c:ser>
        <c:ser>
          <c:idx val="2"/>
          <c:order val="2"/>
          <c:tx>
            <c:strRef>
              <c:f>Sheet2!$D$52</c:f>
              <c:strCache>
                <c:ptCount val="1"/>
                <c:pt idx="0">
                  <c:v>VRMS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Sheet2!$B$3:$B$23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Sheet2!$D$53:$D$73</c:f>
              <c:numCache>
                <c:formatCode>0.0000_ </c:formatCode>
                <c:ptCount val="21"/>
                <c:pt idx="0">
                  <c:v>5.1699999999999899E-2</c:v>
                </c:pt>
                <c:pt idx="1">
                  <c:v>0.37359999999999999</c:v>
                </c:pt>
                <c:pt idx="2">
                  <c:v>0.51239999999999997</c:v>
                </c:pt>
                <c:pt idx="3">
                  <c:v>0.58689999999999998</c:v>
                </c:pt>
                <c:pt idx="4">
                  <c:v>0.63249999999999995</c:v>
                </c:pt>
                <c:pt idx="5">
                  <c:v>0.66210000000000002</c:v>
                </c:pt>
                <c:pt idx="6">
                  <c:v>0.6845</c:v>
                </c:pt>
                <c:pt idx="7">
                  <c:v>0.69869999999999999</c:v>
                </c:pt>
                <c:pt idx="8">
                  <c:v>0.70979999999999999</c:v>
                </c:pt>
                <c:pt idx="9">
                  <c:v>0.71699999999999997</c:v>
                </c:pt>
                <c:pt idx="10">
                  <c:v>0.72319999999999995</c:v>
                </c:pt>
                <c:pt idx="11">
                  <c:v>0.72889999999999999</c:v>
                </c:pt>
                <c:pt idx="12">
                  <c:v>0.73280000000000001</c:v>
                </c:pt>
                <c:pt idx="13">
                  <c:v>0.73580000000000001</c:v>
                </c:pt>
                <c:pt idx="14">
                  <c:v>0.73850000000000005</c:v>
                </c:pt>
                <c:pt idx="15">
                  <c:v>0.74070000000000003</c:v>
                </c:pt>
                <c:pt idx="16">
                  <c:v>0.74360000000000004</c:v>
                </c:pt>
                <c:pt idx="17">
                  <c:v>0.74450000000000005</c:v>
                </c:pt>
                <c:pt idx="18">
                  <c:v>0.74490000000000001</c:v>
                </c:pt>
                <c:pt idx="19">
                  <c:v>0.74639999999999995</c:v>
                </c:pt>
                <c:pt idx="20">
                  <c:v>0.74770000000000003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DE-1445-B223-EB18B44ED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763776"/>
        <c:axId val="1112759296"/>
      </c:scatterChart>
      <c:valAx>
        <c:axId val="1112763776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59296"/>
        <c:crosses val="autoZero"/>
        <c:crossBetween val="midCat"/>
        <c:majorUnit val="50"/>
      </c:valAx>
      <c:valAx>
        <c:axId val="11127592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6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95250b8-4e0c-4c79-9b35-57f76fae58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Sheet4!$C$2</c:f>
              <c:strCache>
                <c:ptCount val="1"/>
                <c:pt idx="0">
                  <c:v>VRMS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Sheet4!$B$3:$B$23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Sheet4!$C$3:$C$23</c:f>
              <c:numCache>
                <c:formatCode>General</c:formatCode>
                <c:ptCount val="21"/>
                <c:pt idx="0">
                  <c:v>1.9E-3</c:v>
                </c:pt>
                <c:pt idx="1">
                  <c:v>0.3982</c:v>
                </c:pt>
                <c:pt idx="2">
                  <c:v>0.78859999999999997</c:v>
                </c:pt>
                <c:pt idx="3">
                  <c:v>1.1043000000000001</c:v>
                </c:pt>
                <c:pt idx="4">
                  <c:v>1.3263</c:v>
                </c:pt>
                <c:pt idx="5">
                  <c:v>1.5224</c:v>
                </c:pt>
                <c:pt idx="6">
                  <c:v>1.6637999999999999</c:v>
                </c:pt>
                <c:pt idx="7">
                  <c:v>1.7959000000000001</c:v>
                </c:pt>
                <c:pt idx="8">
                  <c:v>1.8996999999999999</c:v>
                </c:pt>
                <c:pt idx="9">
                  <c:v>1.9927999999999999</c:v>
                </c:pt>
                <c:pt idx="10">
                  <c:v>2.0655000000000001</c:v>
                </c:pt>
                <c:pt idx="11">
                  <c:v>2.1444000000000001</c:v>
                </c:pt>
                <c:pt idx="12">
                  <c:v>2.2038000000000002</c:v>
                </c:pt>
                <c:pt idx="13">
                  <c:v>2.2563</c:v>
                </c:pt>
                <c:pt idx="14">
                  <c:v>2.3071000000000002</c:v>
                </c:pt>
                <c:pt idx="15">
                  <c:v>2.3546</c:v>
                </c:pt>
                <c:pt idx="16">
                  <c:v>2.3933</c:v>
                </c:pt>
                <c:pt idx="17">
                  <c:v>2.4276</c:v>
                </c:pt>
                <c:pt idx="18">
                  <c:v>2.4626999999999999</c:v>
                </c:pt>
                <c:pt idx="19">
                  <c:v>2.4944000000000002</c:v>
                </c:pt>
                <c:pt idx="20">
                  <c:v>2.5204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36-F34D-BF7B-B125F8054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039616"/>
        <c:axId val="2054037824"/>
      </c:scatterChart>
      <c:valAx>
        <c:axId val="2054039616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 [Ω]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37824"/>
        <c:crosses val="autoZero"/>
        <c:crossBetween val="midCat"/>
        <c:majorUnit val="50"/>
      </c:valAx>
      <c:valAx>
        <c:axId val="2054037824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39616"/>
        <c:crosses val="autoZero"/>
        <c:crossBetween val="midCat"/>
        <c:majorUnit val="0.5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045cee0-8cc9-4c20-bbb7-ba77d7e846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Sheet5!$C$2</c:f>
              <c:strCache>
                <c:ptCount val="1"/>
                <c:pt idx="0">
                  <c:v>VRMS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Sheet5!$B$3:$B$23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Sheet5!$C$3:$C$23</c:f>
              <c:numCache>
                <c:formatCode>General</c:formatCode>
                <c:ptCount val="21"/>
                <c:pt idx="0">
                  <c:v>1.9E-3</c:v>
                </c:pt>
                <c:pt idx="1">
                  <c:v>0.3982</c:v>
                </c:pt>
                <c:pt idx="2">
                  <c:v>0.78859999999999997</c:v>
                </c:pt>
                <c:pt idx="3">
                  <c:v>1.1043000000000001</c:v>
                </c:pt>
                <c:pt idx="4">
                  <c:v>1.3263</c:v>
                </c:pt>
                <c:pt idx="5">
                  <c:v>1.5224</c:v>
                </c:pt>
                <c:pt idx="6">
                  <c:v>1.6637999999999999</c:v>
                </c:pt>
                <c:pt idx="7">
                  <c:v>1.7959000000000001</c:v>
                </c:pt>
                <c:pt idx="8">
                  <c:v>1.8996999999999999</c:v>
                </c:pt>
                <c:pt idx="9">
                  <c:v>1.9927999999999999</c:v>
                </c:pt>
                <c:pt idx="10">
                  <c:v>2.0655000000000001</c:v>
                </c:pt>
                <c:pt idx="11">
                  <c:v>2.1444000000000001</c:v>
                </c:pt>
                <c:pt idx="12">
                  <c:v>2.2038000000000002</c:v>
                </c:pt>
                <c:pt idx="13">
                  <c:v>2.2563</c:v>
                </c:pt>
                <c:pt idx="14">
                  <c:v>2.3071000000000002</c:v>
                </c:pt>
                <c:pt idx="15">
                  <c:v>2.3546</c:v>
                </c:pt>
                <c:pt idx="16">
                  <c:v>2.3933</c:v>
                </c:pt>
                <c:pt idx="17">
                  <c:v>2.4276</c:v>
                </c:pt>
                <c:pt idx="18">
                  <c:v>2.4626999999999999</c:v>
                </c:pt>
                <c:pt idx="19">
                  <c:v>2.4944000000000002</c:v>
                </c:pt>
                <c:pt idx="20">
                  <c:v>2.5204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69-4A4D-8A8A-FDF2D8196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039616"/>
        <c:axId val="2054037824"/>
      </c:scatterChart>
      <c:valAx>
        <c:axId val="2054039616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 [Ω]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37824"/>
        <c:crosses val="autoZero"/>
        <c:crossBetween val="midCat"/>
        <c:majorUnit val="50"/>
      </c:valAx>
      <c:valAx>
        <c:axId val="2054037824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39616"/>
        <c:crosses val="autoZero"/>
        <c:crossBetween val="midCat"/>
        <c:majorUnit val="0.5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045cee0-8cc9-4c20-bbb7-ba77d7e846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'REM-7.0 CUT 1'!$C$1</c:f>
              <c:strCache>
                <c:ptCount val="1"/>
                <c:pt idx="0">
                  <c:v>VRMS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'REM-7.0 CUT 1'!$B$4:$B$24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'REM-7.0 CUT 1'!$C$4:$C$24</c:f>
              <c:numCache>
                <c:formatCode>General</c:formatCode>
                <c:ptCount val="21"/>
                <c:pt idx="0">
                  <c:v>1.9E-3</c:v>
                </c:pt>
                <c:pt idx="1">
                  <c:v>0.3982</c:v>
                </c:pt>
                <c:pt idx="2">
                  <c:v>0.78859999999999997</c:v>
                </c:pt>
                <c:pt idx="3">
                  <c:v>1.1043000000000001</c:v>
                </c:pt>
                <c:pt idx="4">
                  <c:v>1.3263</c:v>
                </c:pt>
                <c:pt idx="5">
                  <c:v>1.5224</c:v>
                </c:pt>
                <c:pt idx="6">
                  <c:v>1.6637999999999999</c:v>
                </c:pt>
                <c:pt idx="7">
                  <c:v>1.7959000000000001</c:v>
                </c:pt>
                <c:pt idx="8">
                  <c:v>1.8996999999999999</c:v>
                </c:pt>
                <c:pt idx="9">
                  <c:v>1.9927999999999999</c:v>
                </c:pt>
                <c:pt idx="10">
                  <c:v>2.0655000000000001</c:v>
                </c:pt>
                <c:pt idx="11">
                  <c:v>2.1444000000000001</c:v>
                </c:pt>
                <c:pt idx="12">
                  <c:v>2.2038000000000002</c:v>
                </c:pt>
                <c:pt idx="13">
                  <c:v>2.2563</c:v>
                </c:pt>
                <c:pt idx="14">
                  <c:v>2.3071000000000002</c:v>
                </c:pt>
                <c:pt idx="15">
                  <c:v>2.3546</c:v>
                </c:pt>
                <c:pt idx="16">
                  <c:v>2.3933</c:v>
                </c:pt>
                <c:pt idx="17">
                  <c:v>2.4276</c:v>
                </c:pt>
                <c:pt idx="18">
                  <c:v>2.4626999999999999</c:v>
                </c:pt>
                <c:pt idx="19">
                  <c:v>2.4944000000000002</c:v>
                </c:pt>
                <c:pt idx="20">
                  <c:v>2.5204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D-A34E-810A-C4D50C01E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039616"/>
        <c:axId val="2054037824"/>
      </c:scatterChart>
      <c:valAx>
        <c:axId val="2054039616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 [Ω]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37824"/>
        <c:crosses val="autoZero"/>
        <c:crossBetween val="midCat"/>
        <c:majorUnit val="50"/>
      </c:valAx>
      <c:valAx>
        <c:axId val="2054037824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39616"/>
        <c:crosses val="autoZero"/>
        <c:crossBetween val="midCat"/>
        <c:majorUnit val="0.5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045cee0-8cc9-4c20-bbb7-ba77d7e846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'REM-7.0 CUT 2'!$C$1</c:f>
              <c:strCache>
                <c:ptCount val="1"/>
                <c:pt idx="0">
                  <c:v>VRMS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'REM-7.0 CUT 2'!$B$4:$B$24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'REM-7.0 CUT 2'!$C$4:$C$24</c:f>
              <c:numCache>
                <c:formatCode>General</c:formatCode>
                <c:ptCount val="21"/>
                <c:pt idx="0">
                  <c:v>1.9E-3</c:v>
                </c:pt>
                <c:pt idx="1">
                  <c:v>0.3982</c:v>
                </c:pt>
                <c:pt idx="2">
                  <c:v>0.78859999999999997</c:v>
                </c:pt>
                <c:pt idx="3">
                  <c:v>1.1043000000000001</c:v>
                </c:pt>
                <c:pt idx="4">
                  <c:v>1.3263</c:v>
                </c:pt>
                <c:pt idx="5">
                  <c:v>1.5224</c:v>
                </c:pt>
                <c:pt idx="6">
                  <c:v>1.6637999999999999</c:v>
                </c:pt>
                <c:pt idx="7">
                  <c:v>1.7959000000000001</c:v>
                </c:pt>
                <c:pt idx="8">
                  <c:v>1.8996999999999999</c:v>
                </c:pt>
                <c:pt idx="9">
                  <c:v>1.9927999999999999</c:v>
                </c:pt>
                <c:pt idx="10">
                  <c:v>2.0655000000000001</c:v>
                </c:pt>
                <c:pt idx="11">
                  <c:v>2.1444000000000001</c:v>
                </c:pt>
                <c:pt idx="12">
                  <c:v>2.2038000000000002</c:v>
                </c:pt>
                <c:pt idx="13">
                  <c:v>2.2563</c:v>
                </c:pt>
                <c:pt idx="14">
                  <c:v>2.3071000000000002</c:v>
                </c:pt>
                <c:pt idx="15">
                  <c:v>2.3546</c:v>
                </c:pt>
                <c:pt idx="16">
                  <c:v>2.3933</c:v>
                </c:pt>
                <c:pt idx="17">
                  <c:v>2.4276</c:v>
                </c:pt>
                <c:pt idx="18">
                  <c:v>2.4626999999999999</c:v>
                </c:pt>
                <c:pt idx="19">
                  <c:v>2.4944000000000002</c:v>
                </c:pt>
                <c:pt idx="20">
                  <c:v>2.5204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D8-7841-99E1-934EEB94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039616"/>
        <c:axId val="2054037824"/>
      </c:scatterChart>
      <c:valAx>
        <c:axId val="2054039616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 [Ω]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37824"/>
        <c:crosses val="autoZero"/>
        <c:crossBetween val="midCat"/>
        <c:majorUnit val="50"/>
      </c:valAx>
      <c:valAx>
        <c:axId val="2054037824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39616"/>
        <c:crosses val="autoZero"/>
        <c:crossBetween val="midCat"/>
        <c:majorUnit val="0.5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045cee0-8cc9-4c20-bbb7-ba77d7e846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'REM-7.0 CUT 3'!$C$1</c:f>
              <c:strCache>
                <c:ptCount val="1"/>
                <c:pt idx="0">
                  <c:v>VRMS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'REM-7.0 CUT 3'!$B$4:$B$24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'REM-7.0 CUT 3'!$C$4:$C$24</c:f>
              <c:numCache>
                <c:formatCode>General</c:formatCode>
                <c:ptCount val="21"/>
                <c:pt idx="0">
                  <c:v>1.9E-3</c:v>
                </c:pt>
                <c:pt idx="1">
                  <c:v>0.3982</c:v>
                </c:pt>
                <c:pt idx="2">
                  <c:v>0.78859999999999997</c:v>
                </c:pt>
                <c:pt idx="3">
                  <c:v>1.1043000000000001</c:v>
                </c:pt>
                <c:pt idx="4">
                  <c:v>1.3263</c:v>
                </c:pt>
                <c:pt idx="5">
                  <c:v>1.5224</c:v>
                </c:pt>
                <c:pt idx="6">
                  <c:v>1.6637999999999999</c:v>
                </c:pt>
                <c:pt idx="7">
                  <c:v>1.7959000000000001</c:v>
                </c:pt>
                <c:pt idx="8">
                  <c:v>1.8996999999999999</c:v>
                </c:pt>
                <c:pt idx="9">
                  <c:v>1.9927999999999999</c:v>
                </c:pt>
                <c:pt idx="10">
                  <c:v>2.0655000000000001</c:v>
                </c:pt>
                <c:pt idx="11">
                  <c:v>2.1444000000000001</c:v>
                </c:pt>
                <c:pt idx="12">
                  <c:v>2.2038000000000002</c:v>
                </c:pt>
                <c:pt idx="13">
                  <c:v>2.2563</c:v>
                </c:pt>
                <c:pt idx="14">
                  <c:v>2.3071000000000002</c:v>
                </c:pt>
                <c:pt idx="15">
                  <c:v>2.3546</c:v>
                </c:pt>
                <c:pt idx="16">
                  <c:v>2.3933</c:v>
                </c:pt>
                <c:pt idx="17">
                  <c:v>2.4276</c:v>
                </c:pt>
                <c:pt idx="18">
                  <c:v>2.4626999999999999</c:v>
                </c:pt>
                <c:pt idx="19">
                  <c:v>2.4944000000000002</c:v>
                </c:pt>
                <c:pt idx="20">
                  <c:v>2.5204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89-B048-9552-D666F4BA2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039616"/>
        <c:axId val="2054037824"/>
      </c:scatterChart>
      <c:valAx>
        <c:axId val="2054039616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 [Ω]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37824"/>
        <c:crosses val="autoZero"/>
        <c:crossBetween val="midCat"/>
        <c:majorUnit val="50"/>
      </c:valAx>
      <c:valAx>
        <c:axId val="2054037824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39616"/>
        <c:crosses val="autoZero"/>
        <c:crossBetween val="midCat"/>
        <c:majorUnit val="0.5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045cee0-8cc9-4c20-bbb7-ba77d7e846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5354</xdr:colOff>
      <xdr:row>2</xdr:row>
      <xdr:rowOff>8822</xdr:rowOff>
    </xdr:from>
    <xdr:to>
      <xdr:col>19</xdr:col>
      <xdr:colOff>683845</xdr:colOff>
      <xdr:row>22</xdr:row>
      <xdr:rowOff>186503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5354</xdr:colOff>
      <xdr:row>2</xdr:row>
      <xdr:rowOff>8822</xdr:rowOff>
    </xdr:from>
    <xdr:to>
      <xdr:col>19</xdr:col>
      <xdr:colOff>683845</xdr:colOff>
      <xdr:row>22</xdr:row>
      <xdr:rowOff>186503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679623</xdr:colOff>
      <xdr:row>0</xdr:row>
      <xdr:rowOff>185351</xdr:rowOff>
    </xdr:from>
    <xdr:to>
      <xdr:col>15</xdr:col>
      <xdr:colOff>679623</xdr:colOff>
      <xdr:row>23</xdr:row>
      <xdr:rowOff>6864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679623</xdr:colOff>
      <xdr:row>0</xdr:row>
      <xdr:rowOff>185351</xdr:rowOff>
    </xdr:from>
    <xdr:to>
      <xdr:col>15</xdr:col>
      <xdr:colOff>679623</xdr:colOff>
      <xdr:row>23</xdr:row>
      <xdr:rowOff>6864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12065</xdr:colOff>
      <xdr:row>1</xdr:row>
      <xdr:rowOff>6350</xdr:rowOff>
    </xdr:from>
    <xdr:to>
      <xdr:col>26</xdr:col>
      <xdr:colOff>12065</xdr:colOff>
      <xdr:row>24</xdr:row>
      <xdr:rowOff>81863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686313</xdr:colOff>
      <xdr:row>1</xdr:row>
      <xdr:rowOff>3207</xdr:rowOff>
    </xdr:from>
    <xdr:to>
      <xdr:col>1</xdr:col>
      <xdr:colOff>824217</xdr:colOff>
      <xdr:row>3</xdr:row>
      <xdr:rowOff>3207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CD1C4CC-8E43-F237-14E5-E3CB63CF34C8}"/>
            </a:ext>
          </a:extLst>
        </xdr:cNvPr>
        <xdr:cNvCxnSpPr/>
      </xdr:nvCxnSpPr>
      <xdr:spPr>
        <a:xfrm>
          <a:off x="686313" y="218081"/>
          <a:ext cx="824217" cy="378434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12065</xdr:colOff>
      <xdr:row>1</xdr:row>
      <xdr:rowOff>6350</xdr:rowOff>
    </xdr:from>
    <xdr:to>
      <xdr:col>26</xdr:col>
      <xdr:colOff>12065</xdr:colOff>
      <xdr:row>24</xdr:row>
      <xdr:rowOff>81863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81DE10-B1B7-F241-AA99-F67C75A0D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686313</xdr:colOff>
      <xdr:row>1</xdr:row>
      <xdr:rowOff>3207</xdr:rowOff>
    </xdr:from>
    <xdr:to>
      <xdr:col>1</xdr:col>
      <xdr:colOff>824217</xdr:colOff>
      <xdr:row>3</xdr:row>
      <xdr:rowOff>3207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82CF161-8DC2-164E-84E2-DEDF8AF70CD0}"/>
            </a:ext>
          </a:extLst>
        </xdr:cNvPr>
        <xdr:cNvCxnSpPr/>
      </xdr:nvCxnSpPr>
      <xdr:spPr>
        <a:xfrm>
          <a:off x="686313" y="219107"/>
          <a:ext cx="823704" cy="38100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12065</xdr:colOff>
      <xdr:row>1</xdr:row>
      <xdr:rowOff>6350</xdr:rowOff>
    </xdr:from>
    <xdr:to>
      <xdr:col>26</xdr:col>
      <xdr:colOff>12065</xdr:colOff>
      <xdr:row>24</xdr:row>
      <xdr:rowOff>81863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853ED6-5BE5-AE42-ABEC-63D2BE7E4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686313</xdr:colOff>
      <xdr:row>1</xdr:row>
      <xdr:rowOff>3207</xdr:rowOff>
    </xdr:from>
    <xdr:to>
      <xdr:col>1</xdr:col>
      <xdr:colOff>824217</xdr:colOff>
      <xdr:row>3</xdr:row>
      <xdr:rowOff>3207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5910A53-9901-6644-A08E-3C3D78246C4B}"/>
            </a:ext>
          </a:extLst>
        </xdr:cNvPr>
        <xdr:cNvCxnSpPr/>
      </xdr:nvCxnSpPr>
      <xdr:spPr>
        <a:xfrm>
          <a:off x="686313" y="219107"/>
          <a:ext cx="823704" cy="38100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74"/>
  <sheetViews>
    <sheetView zoomScale="104" zoomScaleNormal="104" workbookViewId="0">
      <selection activeCell="D2" sqref="D2"/>
    </sheetView>
  </sheetViews>
  <sheetFormatPr baseColWidth="10" defaultColWidth="9" defaultRowHeight="15" x14ac:dyDescent="0.2"/>
  <cols>
    <col min="3" max="3" width="9" hidden="1" customWidth="1"/>
    <col min="16" max="16" width="18.83203125" customWidth="1"/>
  </cols>
  <sheetData>
    <row r="1" spans="2:8" x14ac:dyDescent="0.2">
      <c r="C1" s="1">
        <v>100</v>
      </c>
      <c r="G1" s="4">
        <f>AVERAGE(G3:G23)</f>
        <v>4.3657142857142901E-2</v>
      </c>
    </row>
    <row r="2" spans="2:8" ht="17" x14ac:dyDescent="0.2">
      <c r="B2" s="1" t="s">
        <v>0</v>
      </c>
      <c r="C2" s="1"/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8" x14ac:dyDescent="0.2">
      <c r="B3">
        <v>0</v>
      </c>
      <c r="D3" s="4">
        <v>2.0333999999999999</v>
      </c>
      <c r="E3" s="4">
        <v>2.0722999999999998</v>
      </c>
      <c r="F3" s="4">
        <v>1.9874000000000001</v>
      </c>
      <c r="G3" s="4">
        <f t="shared" ref="G3:G23" si="0">MAX((E3-D3),(D3-F3))</f>
        <v>4.5999999999999798E-2</v>
      </c>
    </row>
    <row r="4" spans="2:8" x14ac:dyDescent="0.2">
      <c r="B4">
        <v>10</v>
      </c>
      <c r="C4" s="4">
        <f t="shared" ref="C4:C23" si="1">1/((1/C$1)+(1/$B4))</f>
        <v>9.0909090909090899</v>
      </c>
      <c r="D4" s="4">
        <v>2.3066</v>
      </c>
      <c r="E4" s="4">
        <v>2.3422999999999998</v>
      </c>
      <c r="F4" s="4">
        <v>2.2652000000000001</v>
      </c>
      <c r="G4" s="4">
        <f t="shared" si="0"/>
        <v>4.1399999999999902E-2</v>
      </c>
    </row>
    <row r="5" spans="2:8" x14ac:dyDescent="0.2">
      <c r="B5">
        <v>20</v>
      </c>
      <c r="C5" s="4">
        <f t="shared" si="1"/>
        <v>16.6666666666667</v>
      </c>
      <c r="D5" s="4">
        <v>2.4327000000000001</v>
      </c>
      <c r="E5" s="4">
        <v>2.4666999999999999</v>
      </c>
      <c r="F5" s="4">
        <v>2.3839999999999999</v>
      </c>
      <c r="G5" s="4">
        <f t="shared" si="0"/>
        <v>4.8700000000000201E-2</v>
      </c>
      <c r="H5" s="5"/>
    </row>
    <row r="6" spans="2:8" x14ac:dyDescent="0.2">
      <c r="B6">
        <v>30</v>
      </c>
      <c r="C6" s="4">
        <f t="shared" si="1"/>
        <v>23.076923076923102</v>
      </c>
      <c r="D6" s="4">
        <v>2.5017</v>
      </c>
      <c r="E6" s="4">
        <v>2.5400999999999998</v>
      </c>
      <c r="F6" s="4">
        <v>2.4559000000000002</v>
      </c>
      <c r="G6" s="4">
        <f t="shared" si="0"/>
        <v>4.5799999999999799E-2</v>
      </c>
      <c r="H6" s="5"/>
    </row>
    <row r="7" spans="2:8" x14ac:dyDescent="0.2">
      <c r="B7">
        <v>40</v>
      </c>
      <c r="C7" s="4">
        <f t="shared" si="1"/>
        <v>28.571428571428601</v>
      </c>
      <c r="D7" s="4">
        <v>2.5428000000000002</v>
      </c>
      <c r="E7" s="4">
        <v>2.5808</v>
      </c>
      <c r="F7" s="4">
        <v>2.5032999999999999</v>
      </c>
      <c r="G7" s="4">
        <f t="shared" si="0"/>
        <v>3.9500000000000299E-2</v>
      </c>
      <c r="H7" s="5"/>
    </row>
    <row r="8" spans="2:8" x14ac:dyDescent="0.2">
      <c r="B8">
        <v>50</v>
      </c>
      <c r="C8" s="4">
        <f t="shared" si="1"/>
        <v>33.3333333333333</v>
      </c>
      <c r="D8" s="4">
        <v>2.5718999999999999</v>
      </c>
      <c r="E8" s="4">
        <v>2.6071</v>
      </c>
      <c r="F8" s="4">
        <v>2.5303</v>
      </c>
      <c r="G8" s="4">
        <f t="shared" si="0"/>
        <v>4.1599999999999901E-2</v>
      </c>
      <c r="H8" s="5"/>
    </row>
    <row r="9" spans="2:8" x14ac:dyDescent="0.2">
      <c r="B9">
        <v>60</v>
      </c>
      <c r="C9" s="4">
        <f t="shared" si="1"/>
        <v>37.5</v>
      </c>
      <c r="D9" s="4">
        <v>2.5909</v>
      </c>
      <c r="E9" s="4">
        <v>2.625</v>
      </c>
      <c r="F9" s="4">
        <v>2.5497000000000001</v>
      </c>
      <c r="G9" s="4">
        <f t="shared" si="0"/>
        <v>4.1199999999999903E-2</v>
      </c>
      <c r="H9" s="5"/>
    </row>
    <row r="10" spans="2:8" x14ac:dyDescent="0.2">
      <c r="B10">
        <v>70</v>
      </c>
      <c r="C10" s="4">
        <f t="shared" si="1"/>
        <v>41.176470588235297</v>
      </c>
      <c r="D10" s="4">
        <v>2.6049000000000002</v>
      </c>
      <c r="E10" s="4">
        <v>2.6427</v>
      </c>
      <c r="F10" s="4">
        <v>2.5653999999999999</v>
      </c>
      <c r="G10" s="4">
        <f t="shared" si="0"/>
        <v>3.9500000000000299E-2</v>
      </c>
      <c r="H10" s="5"/>
    </row>
    <row r="11" spans="2:8" x14ac:dyDescent="0.2">
      <c r="B11">
        <v>80</v>
      </c>
      <c r="C11" s="4">
        <f t="shared" si="1"/>
        <v>44.4444444444444</v>
      </c>
      <c r="D11" s="4">
        <v>2.6166</v>
      </c>
      <c r="E11" s="4">
        <v>2.6526999999999998</v>
      </c>
      <c r="F11" s="4">
        <v>2.5720000000000001</v>
      </c>
      <c r="G11" s="4">
        <f t="shared" si="0"/>
        <v>4.4600000000000001E-2</v>
      </c>
      <c r="H11" s="5"/>
    </row>
    <row r="12" spans="2:8" x14ac:dyDescent="0.2">
      <c r="B12">
        <v>90</v>
      </c>
      <c r="C12" s="4">
        <f t="shared" si="1"/>
        <v>47.368421052631597</v>
      </c>
      <c r="D12" s="4">
        <v>2.6257999999999999</v>
      </c>
      <c r="E12" s="4">
        <v>2.6608000000000001</v>
      </c>
      <c r="F12" s="4">
        <v>2.5859999999999999</v>
      </c>
      <c r="G12" s="4">
        <f t="shared" si="0"/>
        <v>3.9800000000000099E-2</v>
      </c>
      <c r="H12" s="5"/>
    </row>
    <row r="13" spans="2:8" x14ac:dyDescent="0.2">
      <c r="B13">
        <v>100</v>
      </c>
      <c r="C13" s="4">
        <f t="shared" si="1"/>
        <v>50</v>
      </c>
      <c r="D13" s="4">
        <v>2.6337999999999999</v>
      </c>
      <c r="E13" s="4">
        <v>2.6709000000000001</v>
      </c>
      <c r="F13" s="4">
        <v>2.5897000000000001</v>
      </c>
      <c r="G13" s="4">
        <f t="shared" si="0"/>
        <v>4.4099999999999799E-2</v>
      </c>
      <c r="H13" s="5"/>
    </row>
    <row r="14" spans="2:8" x14ac:dyDescent="0.2">
      <c r="B14">
        <v>110</v>
      </c>
      <c r="C14" s="4">
        <f t="shared" si="1"/>
        <v>52.380952380952401</v>
      </c>
      <c r="D14" s="4">
        <v>2.6402999999999999</v>
      </c>
      <c r="E14" s="4">
        <v>2.6791999999999998</v>
      </c>
      <c r="F14" s="4">
        <v>2.6013999999999999</v>
      </c>
      <c r="G14" s="4">
        <f t="shared" si="0"/>
        <v>3.88999999999999E-2</v>
      </c>
      <c r="H14" s="5"/>
    </row>
    <row r="15" spans="2:8" x14ac:dyDescent="0.2">
      <c r="B15">
        <v>120</v>
      </c>
      <c r="C15" s="4">
        <f t="shared" si="1"/>
        <v>54.545454545454497</v>
      </c>
      <c r="D15" s="4">
        <v>2.6456</v>
      </c>
      <c r="E15" s="4">
        <v>2.6854</v>
      </c>
      <c r="F15" s="4">
        <v>2.6019000000000001</v>
      </c>
      <c r="G15" s="4">
        <f t="shared" si="0"/>
        <v>4.3699999999999899E-2</v>
      </c>
      <c r="H15" s="5"/>
    </row>
    <row r="16" spans="2:8" x14ac:dyDescent="0.2">
      <c r="B16">
        <v>130</v>
      </c>
      <c r="C16" s="4">
        <f t="shared" si="1"/>
        <v>56.521739130434803</v>
      </c>
      <c r="D16" s="4">
        <v>2.6503000000000001</v>
      </c>
      <c r="E16" s="4">
        <v>2.6924999999999999</v>
      </c>
      <c r="F16" s="4">
        <v>2.6996000000000002</v>
      </c>
      <c r="G16" s="4">
        <f t="shared" si="0"/>
        <v>4.21999999999998E-2</v>
      </c>
      <c r="H16" s="5"/>
    </row>
    <row r="17" spans="2:8" x14ac:dyDescent="0.2">
      <c r="B17">
        <v>140</v>
      </c>
      <c r="C17" s="4">
        <f t="shared" si="1"/>
        <v>58.3333333333333</v>
      </c>
      <c r="D17" s="4">
        <v>2.6545000000000001</v>
      </c>
      <c r="E17" s="4">
        <v>2.6926999999999999</v>
      </c>
      <c r="F17" s="4">
        <v>2.6105</v>
      </c>
      <c r="G17" s="4">
        <f t="shared" si="0"/>
        <v>4.3999999999999997E-2</v>
      </c>
      <c r="H17" s="5"/>
    </row>
    <row r="18" spans="2:8" x14ac:dyDescent="0.2">
      <c r="B18">
        <v>150</v>
      </c>
      <c r="C18" s="4">
        <f t="shared" si="1"/>
        <v>60</v>
      </c>
      <c r="D18" s="4">
        <v>2.6581999999999999</v>
      </c>
      <c r="E18" s="4">
        <v>2.6959</v>
      </c>
      <c r="F18" s="4">
        <v>2.6189</v>
      </c>
      <c r="G18" s="4">
        <f t="shared" si="0"/>
        <v>3.9299999999999898E-2</v>
      </c>
      <c r="H18" s="5"/>
    </row>
    <row r="19" spans="2:8" x14ac:dyDescent="0.2">
      <c r="B19">
        <v>160</v>
      </c>
      <c r="C19" s="4">
        <f t="shared" si="1"/>
        <v>61.538461538461497</v>
      </c>
      <c r="D19" s="4">
        <v>2.6608999999999998</v>
      </c>
      <c r="E19" s="4">
        <v>2.7042999999999999</v>
      </c>
      <c r="F19" s="4">
        <v>2.6183999999999998</v>
      </c>
      <c r="G19" s="4">
        <f t="shared" si="0"/>
        <v>4.3400000000000098E-2</v>
      </c>
      <c r="H19" s="5"/>
    </row>
    <row r="20" spans="2:8" x14ac:dyDescent="0.2">
      <c r="B20">
        <v>170</v>
      </c>
      <c r="C20" s="4">
        <f t="shared" si="1"/>
        <v>62.962962962962997</v>
      </c>
      <c r="D20" s="4">
        <v>2.6633</v>
      </c>
      <c r="E20" s="4">
        <v>2.6991000000000001</v>
      </c>
      <c r="F20" s="4">
        <v>2.6141999999999999</v>
      </c>
      <c r="G20" s="4">
        <f t="shared" si="0"/>
        <v>4.9100000000000102E-2</v>
      </c>
      <c r="H20" s="5"/>
    </row>
    <row r="21" spans="2:8" x14ac:dyDescent="0.2">
      <c r="B21">
        <v>180</v>
      </c>
      <c r="C21" s="4">
        <f t="shared" si="1"/>
        <v>64.285714285714306</v>
      </c>
      <c r="D21" s="4">
        <v>2.6655000000000002</v>
      </c>
      <c r="E21" s="4">
        <v>2.7054999999999998</v>
      </c>
      <c r="F21" s="4">
        <v>2.6189</v>
      </c>
      <c r="G21" s="4">
        <f t="shared" si="0"/>
        <v>4.6600000000000197E-2</v>
      </c>
      <c r="H21" s="5"/>
    </row>
    <row r="22" spans="2:8" x14ac:dyDescent="0.2">
      <c r="B22">
        <v>190</v>
      </c>
      <c r="C22" s="4">
        <f t="shared" si="1"/>
        <v>65.517241379310306</v>
      </c>
      <c r="D22" s="4">
        <v>2.6682000000000001</v>
      </c>
      <c r="E22" s="4">
        <v>2.7080000000000002</v>
      </c>
      <c r="F22" s="4">
        <v>2.6208</v>
      </c>
      <c r="G22" s="4">
        <f t="shared" si="0"/>
        <v>4.7400000000000102E-2</v>
      </c>
      <c r="H22" s="5"/>
    </row>
    <row r="23" spans="2:8" x14ac:dyDescent="0.2">
      <c r="B23">
        <v>200</v>
      </c>
      <c r="C23" s="4">
        <f t="shared" si="1"/>
        <v>66.6666666666667</v>
      </c>
      <c r="D23" s="4">
        <v>2.6701999999999999</v>
      </c>
      <c r="E23" s="4">
        <v>2.7202000000000002</v>
      </c>
      <c r="F23" s="4">
        <v>2.6316000000000002</v>
      </c>
      <c r="G23" s="4">
        <f t="shared" si="0"/>
        <v>5.0000000000000301E-2</v>
      </c>
      <c r="H23" s="5"/>
    </row>
    <row r="25" spans="2:8" x14ac:dyDescent="0.2">
      <c r="G25" s="4"/>
    </row>
    <row r="26" spans="2:8" x14ac:dyDescent="0.2">
      <c r="C26" s="1">
        <v>50</v>
      </c>
      <c r="G26" s="4">
        <f>AVERAGE(G28:G45)</f>
        <v>1.6227777777777799E-2</v>
      </c>
    </row>
    <row r="27" spans="2:8" ht="17" x14ac:dyDescent="0.2">
      <c r="B27" s="1" t="s">
        <v>0</v>
      </c>
      <c r="D27" s="1" t="s">
        <v>1</v>
      </c>
      <c r="E27" s="1" t="s">
        <v>2</v>
      </c>
      <c r="F27" s="1" t="s">
        <v>3</v>
      </c>
      <c r="G27" s="1" t="s">
        <v>4</v>
      </c>
      <c r="H27" t="s">
        <v>5</v>
      </c>
    </row>
    <row r="28" spans="2:8" x14ac:dyDescent="0.2">
      <c r="B28">
        <v>0</v>
      </c>
      <c r="C28" s="4"/>
      <c r="D28" s="5">
        <v>2.0087000000000002</v>
      </c>
      <c r="E28" s="5">
        <v>2.0209000000000001</v>
      </c>
      <c r="F28" s="5">
        <v>1.9922</v>
      </c>
      <c r="G28" s="4">
        <f t="shared" ref="G28:G48" si="2">MAX((E28-D28),(D28-F28))</f>
        <v>1.6500000000000199E-2</v>
      </c>
    </row>
    <row r="29" spans="2:8" x14ac:dyDescent="0.2">
      <c r="B29">
        <v>10</v>
      </c>
      <c r="C29" s="4">
        <f>1/((1/C$26)+(1/$B29))</f>
        <v>8.3333333333333304</v>
      </c>
      <c r="D29" s="5">
        <v>2.2576000000000001</v>
      </c>
      <c r="E29" s="5">
        <v>2.2719999999999998</v>
      </c>
      <c r="F29" s="5">
        <v>2.2450000000000001</v>
      </c>
      <c r="G29" s="4">
        <f t="shared" si="2"/>
        <v>1.4399999999999699E-2</v>
      </c>
    </row>
    <row r="30" spans="2:8" x14ac:dyDescent="0.2">
      <c r="B30">
        <v>20</v>
      </c>
      <c r="C30" s="4">
        <f t="shared" ref="C30:C48" si="3">1/((1/C$26)+(1/$B30))</f>
        <v>14.285714285714301</v>
      </c>
      <c r="D30" s="5">
        <v>2.3702000000000001</v>
      </c>
      <c r="E30" s="5">
        <v>2.3845999999999998</v>
      </c>
      <c r="F30" s="5">
        <v>2.3591000000000002</v>
      </c>
      <c r="G30" s="4">
        <f t="shared" si="2"/>
        <v>1.4399999999999699E-2</v>
      </c>
    </row>
    <row r="31" spans="2:8" x14ac:dyDescent="0.2">
      <c r="B31">
        <v>30</v>
      </c>
      <c r="C31" s="4">
        <f t="shared" si="3"/>
        <v>18.75</v>
      </c>
      <c r="D31" s="5">
        <v>2.4262999999999999</v>
      </c>
      <c r="E31" s="5">
        <v>2.4418000000000002</v>
      </c>
      <c r="F31" s="5">
        <v>2.4131999999999998</v>
      </c>
      <c r="G31" s="4">
        <f t="shared" si="2"/>
        <v>1.55000000000003E-2</v>
      </c>
    </row>
    <row r="32" spans="2:8" x14ac:dyDescent="0.2">
      <c r="B32">
        <v>40</v>
      </c>
      <c r="C32" s="4">
        <f t="shared" si="3"/>
        <v>22.2222222222222</v>
      </c>
      <c r="D32" s="5">
        <v>2.4649999999999999</v>
      </c>
      <c r="E32" s="5">
        <v>2.4851999999999999</v>
      </c>
      <c r="F32" s="5">
        <v>2.4519000000000002</v>
      </c>
      <c r="G32" s="4">
        <f t="shared" si="2"/>
        <v>2.0199999999999999E-2</v>
      </c>
    </row>
    <row r="33" spans="2:7" x14ac:dyDescent="0.2">
      <c r="B33">
        <v>50</v>
      </c>
      <c r="C33" s="4">
        <f t="shared" si="3"/>
        <v>25</v>
      </c>
      <c r="D33" s="5">
        <v>2.4889000000000001</v>
      </c>
      <c r="E33" s="5">
        <v>2.5017</v>
      </c>
      <c r="F33" s="5">
        <v>2.4763999999999999</v>
      </c>
      <c r="G33" s="4">
        <f t="shared" si="2"/>
        <v>1.27999999999999E-2</v>
      </c>
    </row>
    <row r="34" spans="2:7" x14ac:dyDescent="0.2">
      <c r="B34">
        <v>60</v>
      </c>
      <c r="C34" s="4">
        <f t="shared" si="3"/>
        <v>27.272727272727298</v>
      </c>
      <c r="D34" s="5">
        <v>2.5059</v>
      </c>
      <c r="E34" s="5">
        <v>2.5217999999999998</v>
      </c>
      <c r="F34" s="5">
        <v>2.4921000000000002</v>
      </c>
      <c r="G34" s="4">
        <f t="shared" si="2"/>
        <v>1.58999999999998E-2</v>
      </c>
    </row>
    <row r="35" spans="2:7" x14ac:dyDescent="0.2">
      <c r="B35">
        <v>70</v>
      </c>
      <c r="C35" s="4">
        <f t="shared" si="3"/>
        <v>29.1666666666667</v>
      </c>
      <c r="D35" s="5">
        <v>2.5198</v>
      </c>
      <c r="E35" s="5">
        <v>2.5341</v>
      </c>
      <c r="F35" s="5">
        <v>2.5076000000000001</v>
      </c>
      <c r="G35" s="4">
        <f t="shared" si="2"/>
        <v>1.43E-2</v>
      </c>
    </row>
    <row r="36" spans="2:7" x14ac:dyDescent="0.2">
      <c r="B36">
        <v>80</v>
      </c>
      <c r="C36" s="4">
        <f t="shared" si="3"/>
        <v>30.769230769230798</v>
      </c>
      <c r="D36" s="5">
        <v>2.5312000000000001</v>
      </c>
      <c r="E36" s="5">
        <v>2.5512999999999999</v>
      </c>
      <c r="F36" s="5">
        <v>2.5184000000000002</v>
      </c>
      <c r="G36" s="4">
        <f t="shared" si="2"/>
        <v>2.0099999999999799E-2</v>
      </c>
    </row>
    <row r="37" spans="2:7" x14ac:dyDescent="0.2">
      <c r="B37">
        <v>90</v>
      </c>
      <c r="C37" s="4">
        <f t="shared" si="3"/>
        <v>32.142857142857103</v>
      </c>
      <c r="D37" s="5">
        <v>2.5402</v>
      </c>
      <c r="E37" s="5">
        <v>2.5539999999999998</v>
      </c>
      <c r="F37" s="5">
        <v>2.5297000000000001</v>
      </c>
      <c r="G37" s="4">
        <f t="shared" si="2"/>
        <v>1.37999999999998E-2</v>
      </c>
    </row>
    <row r="38" spans="2:7" x14ac:dyDescent="0.2">
      <c r="B38">
        <v>100</v>
      </c>
      <c r="C38" s="4">
        <f t="shared" si="3"/>
        <v>33.3333333333333</v>
      </c>
      <c r="D38" s="5">
        <v>2.5463</v>
      </c>
      <c r="E38" s="5">
        <v>2.5655000000000001</v>
      </c>
      <c r="F38" s="5">
        <v>2.5316000000000001</v>
      </c>
      <c r="G38" s="4">
        <f t="shared" si="2"/>
        <v>1.9200000000000099E-2</v>
      </c>
    </row>
    <row r="39" spans="2:7" x14ac:dyDescent="0.2">
      <c r="B39">
        <v>110</v>
      </c>
      <c r="C39" s="4">
        <f t="shared" si="3"/>
        <v>34.375</v>
      </c>
      <c r="D39" s="5">
        <v>2.5516000000000001</v>
      </c>
      <c r="E39" s="5">
        <v>2.5701999999999998</v>
      </c>
      <c r="F39" s="5">
        <v>2.5390000000000001</v>
      </c>
      <c r="G39" s="4">
        <f t="shared" si="2"/>
        <v>1.85999999999997E-2</v>
      </c>
    </row>
    <row r="40" spans="2:7" x14ac:dyDescent="0.2">
      <c r="B40">
        <v>120</v>
      </c>
      <c r="C40" s="4">
        <f t="shared" si="3"/>
        <v>35.294117647058798</v>
      </c>
      <c r="D40" s="5">
        <v>2.5565000000000002</v>
      </c>
      <c r="E40" s="5">
        <v>2.5743</v>
      </c>
      <c r="F40" s="5">
        <v>2.5446</v>
      </c>
      <c r="G40" s="4">
        <f t="shared" si="2"/>
        <v>1.7799999999999799E-2</v>
      </c>
    </row>
    <row r="41" spans="2:7" x14ac:dyDescent="0.2">
      <c r="B41">
        <v>130</v>
      </c>
      <c r="C41" s="4">
        <f t="shared" si="3"/>
        <v>36.1111111111111</v>
      </c>
      <c r="D41" s="5">
        <v>2.5600999999999998</v>
      </c>
      <c r="E41" s="5">
        <v>2.5716000000000001</v>
      </c>
      <c r="F41" s="5">
        <v>2.5488</v>
      </c>
      <c r="G41" s="4">
        <f t="shared" si="2"/>
        <v>1.15000000000003E-2</v>
      </c>
    </row>
    <row r="42" spans="2:7" x14ac:dyDescent="0.2">
      <c r="B42">
        <v>140</v>
      </c>
      <c r="C42" s="4">
        <f t="shared" si="3"/>
        <v>36.842105263157897</v>
      </c>
      <c r="D42" s="5">
        <v>2.5657999999999999</v>
      </c>
      <c r="E42" s="5">
        <v>2.5832000000000002</v>
      </c>
      <c r="F42" s="5">
        <v>2.5537000000000001</v>
      </c>
      <c r="G42" s="4">
        <f t="shared" si="2"/>
        <v>1.7400000000000301E-2</v>
      </c>
    </row>
    <row r="43" spans="2:7" x14ac:dyDescent="0.2">
      <c r="B43">
        <v>150</v>
      </c>
      <c r="C43" s="4">
        <f t="shared" si="3"/>
        <v>37.5</v>
      </c>
      <c r="D43" s="5">
        <v>2.5674000000000001</v>
      </c>
      <c r="E43" s="5">
        <v>2.5868000000000002</v>
      </c>
      <c r="F43" s="5">
        <v>2.5537000000000001</v>
      </c>
      <c r="G43" s="4">
        <f t="shared" si="2"/>
        <v>1.9400000000000101E-2</v>
      </c>
    </row>
    <row r="44" spans="2:7" x14ac:dyDescent="0.2">
      <c r="B44">
        <v>160</v>
      </c>
      <c r="C44" s="4">
        <f t="shared" si="3"/>
        <v>38.095238095238102</v>
      </c>
      <c r="D44" s="5">
        <v>2.5714999999999999</v>
      </c>
      <c r="E44" s="5">
        <v>2.5846</v>
      </c>
      <c r="F44" s="5">
        <v>2.5596000000000001</v>
      </c>
      <c r="G44" s="4">
        <f t="shared" si="2"/>
        <v>1.3100000000000099E-2</v>
      </c>
    </row>
    <row r="45" spans="2:7" x14ac:dyDescent="0.2">
      <c r="B45">
        <v>170</v>
      </c>
      <c r="C45" s="4">
        <f t="shared" si="3"/>
        <v>38.636363636363598</v>
      </c>
      <c r="D45" s="5">
        <v>2.5728</v>
      </c>
      <c r="E45" s="5">
        <v>2.59</v>
      </c>
      <c r="F45" s="5">
        <v>2.5615999999999999</v>
      </c>
      <c r="G45" s="4">
        <f t="shared" si="2"/>
        <v>1.7199999999999899E-2</v>
      </c>
    </row>
    <row r="46" spans="2:7" x14ac:dyDescent="0.2">
      <c r="B46">
        <v>180</v>
      </c>
      <c r="C46" s="4">
        <f t="shared" si="3"/>
        <v>39.130434782608702</v>
      </c>
      <c r="D46" s="5"/>
      <c r="E46" s="5"/>
      <c r="F46" s="5"/>
      <c r="G46" s="4">
        <f t="shared" si="2"/>
        <v>0</v>
      </c>
    </row>
    <row r="47" spans="2:7" x14ac:dyDescent="0.2">
      <c r="B47">
        <v>190</v>
      </c>
      <c r="C47" s="4">
        <f t="shared" si="3"/>
        <v>39.5833333333333</v>
      </c>
      <c r="D47" s="5"/>
      <c r="E47" s="5"/>
      <c r="F47" s="5"/>
      <c r="G47" s="4">
        <f t="shared" si="2"/>
        <v>0</v>
      </c>
    </row>
    <row r="48" spans="2:7" x14ac:dyDescent="0.2">
      <c r="B48">
        <v>200</v>
      </c>
      <c r="C48" s="4">
        <f t="shared" si="3"/>
        <v>40</v>
      </c>
      <c r="D48" s="5"/>
      <c r="E48" s="5"/>
      <c r="F48" s="5"/>
      <c r="G48" s="4">
        <f t="shared" si="2"/>
        <v>0</v>
      </c>
    </row>
    <row r="51" spans="2:16" x14ac:dyDescent="0.2">
      <c r="G51" s="4">
        <f>AVERAGE(G53:G73)</f>
        <v>2.2504761904761899E-2</v>
      </c>
    </row>
    <row r="52" spans="2:16" ht="17" x14ac:dyDescent="0.2">
      <c r="B52" s="1" t="s">
        <v>0</v>
      </c>
      <c r="C52" s="1"/>
      <c r="D52" s="1" t="s">
        <v>1</v>
      </c>
      <c r="E52" s="1" t="s">
        <v>2</v>
      </c>
      <c r="F52" s="1" t="s">
        <v>3</v>
      </c>
      <c r="G52" s="1" t="s">
        <v>4</v>
      </c>
    </row>
    <row r="53" spans="2:16" x14ac:dyDescent="0.2">
      <c r="B53">
        <v>0</v>
      </c>
      <c r="D53" s="4">
        <v>2.0516999999999999</v>
      </c>
      <c r="E53" s="4">
        <v>2.0722999999999998</v>
      </c>
      <c r="F53" s="4">
        <v>1.9874000000000001</v>
      </c>
      <c r="G53" s="4">
        <f t="shared" ref="G53:G74" si="4">MAX((E53-D53),(D53-F53))</f>
        <v>6.4299999999999802E-2</v>
      </c>
    </row>
    <row r="54" spans="2:16" x14ac:dyDescent="0.2">
      <c r="B54">
        <v>10</v>
      </c>
      <c r="C54" s="4">
        <f t="shared" ref="C54:C73" si="5">1/((1/C$1)+(1/$B54))</f>
        <v>9.0909090909090899</v>
      </c>
      <c r="D54" s="4">
        <v>2.3736000000000002</v>
      </c>
      <c r="E54" s="4">
        <v>2.3942000000000001</v>
      </c>
      <c r="F54" s="4">
        <v>2.3578999999999999</v>
      </c>
      <c r="G54" s="4">
        <f t="shared" si="4"/>
        <v>2.06E-2</v>
      </c>
    </row>
    <row r="55" spans="2:16" x14ac:dyDescent="0.2">
      <c r="B55">
        <v>20</v>
      </c>
      <c r="C55" s="4">
        <f t="shared" si="5"/>
        <v>16.6666666666667</v>
      </c>
      <c r="D55" s="4">
        <v>2.5124</v>
      </c>
      <c r="E55" s="4">
        <v>2.5324</v>
      </c>
      <c r="F55" s="4">
        <v>2.4967999999999999</v>
      </c>
      <c r="G55" s="4">
        <f t="shared" si="4"/>
        <v>0.02</v>
      </c>
    </row>
    <row r="56" spans="2:16" x14ac:dyDescent="0.2">
      <c r="B56">
        <v>30</v>
      </c>
      <c r="C56" s="4">
        <f t="shared" si="5"/>
        <v>23.076923076923102</v>
      </c>
      <c r="D56" s="4">
        <v>2.5869</v>
      </c>
      <c r="E56" s="4">
        <v>2.6074999999999999</v>
      </c>
      <c r="F56" s="4">
        <v>2.5731000000000002</v>
      </c>
      <c r="G56" s="4">
        <f t="shared" si="4"/>
        <v>2.06E-2</v>
      </c>
    </row>
    <row r="57" spans="2:16" x14ac:dyDescent="0.2">
      <c r="B57">
        <v>40</v>
      </c>
      <c r="C57" s="4">
        <f t="shared" si="5"/>
        <v>28.571428571428601</v>
      </c>
      <c r="D57" s="4">
        <v>2.6324999999999998</v>
      </c>
      <c r="E57" s="4">
        <v>2.6636000000000002</v>
      </c>
      <c r="F57" s="4">
        <v>2.6187</v>
      </c>
      <c r="G57" s="4">
        <f t="shared" si="4"/>
        <v>3.1100000000000301E-2</v>
      </c>
    </row>
    <row r="58" spans="2:16" x14ac:dyDescent="0.2">
      <c r="B58">
        <v>50</v>
      </c>
      <c r="C58" s="4">
        <f t="shared" si="5"/>
        <v>33.3333333333333</v>
      </c>
      <c r="D58" s="4">
        <v>2.6621000000000001</v>
      </c>
      <c r="E58" s="4">
        <v>2.6829999999999998</v>
      </c>
      <c r="F58" s="4">
        <v>2.6488999999999998</v>
      </c>
      <c r="G58" s="4">
        <f t="shared" si="4"/>
        <v>2.08999999999997E-2</v>
      </c>
    </row>
    <row r="59" spans="2:16" x14ac:dyDescent="0.2">
      <c r="B59">
        <v>60</v>
      </c>
      <c r="C59" s="4">
        <f t="shared" si="5"/>
        <v>37.5</v>
      </c>
      <c r="D59" s="4">
        <v>2.6844999999999999</v>
      </c>
      <c r="E59" s="4">
        <v>2.7017000000000002</v>
      </c>
      <c r="F59" s="4">
        <v>2.6737000000000002</v>
      </c>
      <c r="G59" s="4">
        <f t="shared" si="4"/>
        <v>1.7200000000000298E-2</v>
      </c>
    </row>
    <row r="60" spans="2:16" x14ac:dyDescent="0.2">
      <c r="B60">
        <v>70</v>
      </c>
      <c r="C60" s="4">
        <f t="shared" si="5"/>
        <v>41.176470588235297</v>
      </c>
      <c r="D60" s="4">
        <v>2.6987000000000001</v>
      </c>
      <c r="E60" s="4">
        <v>2.7216</v>
      </c>
      <c r="F60" s="4">
        <v>2.6833</v>
      </c>
      <c r="G60" s="4">
        <f t="shared" si="4"/>
        <v>2.28999999999999E-2</v>
      </c>
      <c r="M60">
        <v>2.5411999999999999</v>
      </c>
      <c r="N60">
        <v>2.6025</v>
      </c>
      <c r="O60">
        <f>N60-M60</f>
        <v>6.1300000000000097E-2</v>
      </c>
      <c r="P60" s="6">
        <f>D63-D58</f>
        <v>6.1099999999999703E-2</v>
      </c>
    </row>
    <row r="61" spans="2:16" x14ac:dyDescent="0.2">
      <c r="B61">
        <v>80</v>
      </c>
      <c r="C61" s="4">
        <f t="shared" si="5"/>
        <v>44.4444444444444</v>
      </c>
      <c r="D61" s="4">
        <v>2.7098</v>
      </c>
      <c r="E61" s="4">
        <v>2.7311000000000001</v>
      </c>
      <c r="F61" s="4">
        <v>2.6945999999999999</v>
      </c>
      <c r="G61" s="4">
        <f t="shared" si="4"/>
        <v>2.13000000000001E-2</v>
      </c>
      <c r="M61">
        <v>1.2826</v>
      </c>
      <c r="N61">
        <v>1.3393999999999999</v>
      </c>
      <c r="O61">
        <f>N61-M61</f>
        <v>5.6800000000000003E-2</v>
      </c>
    </row>
    <row r="62" spans="2:16" x14ac:dyDescent="0.2">
      <c r="B62">
        <v>90</v>
      </c>
      <c r="C62" s="4">
        <f t="shared" si="5"/>
        <v>47.368421052631597</v>
      </c>
      <c r="D62" s="4">
        <v>2.7170000000000001</v>
      </c>
      <c r="E62" s="4">
        <v>2.7402000000000002</v>
      </c>
      <c r="F62" s="4">
        <v>2.7014</v>
      </c>
      <c r="G62" s="4">
        <f t="shared" si="4"/>
        <v>2.3200000000000099E-2</v>
      </c>
    </row>
    <row r="63" spans="2:16" x14ac:dyDescent="0.2">
      <c r="B63">
        <v>100</v>
      </c>
      <c r="C63" s="4">
        <f t="shared" si="5"/>
        <v>50</v>
      </c>
      <c r="D63" s="4">
        <v>2.7231999999999998</v>
      </c>
      <c r="E63" s="4">
        <v>2.7450999999999999</v>
      </c>
      <c r="F63" s="4">
        <v>2.7088000000000001</v>
      </c>
      <c r="G63" s="4">
        <f t="shared" si="4"/>
        <v>2.1899999999999999E-2</v>
      </c>
    </row>
    <row r="64" spans="2:16" x14ac:dyDescent="0.2">
      <c r="B64">
        <v>110</v>
      </c>
      <c r="C64" s="4">
        <f t="shared" si="5"/>
        <v>52.380952380952401</v>
      </c>
      <c r="D64" s="4">
        <v>2.7288999999999999</v>
      </c>
      <c r="E64" s="4">
        <v>2.7507999999999999</v>
      </c>
      <c r="F64" s="4">
        <v>2.7149999999999999</v>
      </c>
      <c r="G64" s="4">
        <f t="shared" si="4"/>
        <v>2.1899999999999999E-2</v>
      </c>
    </row>
    <row r="65" spans="2:7" x14ac:dyDescent="0.2">
      <c r="B65">
        <v>120</v>
      </c>
      <c r="C65" s="4">
        <f t="shared" si="5"/>
        <v>54.545454545454497</v>
      </c>
      <c r="D65" s="4">
        <v>2.7328000000000001</v>
      </c>
      <c r="E65" s="4">
        <v>2.7524999999999999</v>
      </c>
      <c r="F65" s="4">
        <v>2.7195999999999998</v>
      </c>
      <c r="G65" s="4">
        <f t="shared" si="4"/>
        <v>1.9699999999999801E-2</v>
      </c>
    </row>
    <row r="66" spans="2:7" x14ac:dyDescent="0.2">
      <c r="B66">
        <v>130</v>
      </c>
      <c r="C66" s="4">
        <f t="shared" si="5"/>
        <v>56.521739130434803</v>
      </c>
      <c r="D66" s="4">
        <v>2.7357999999999998</v>
      </c>
      <c r="E66" s="4">
        <v>2.7542</v>
      </c>
      <c r="F66" s="4">
        <v>2.7221000000000002</v>
      </c>
      <c r="G66" s="4">
        <f t="shared" si="4"/>
        <v>1.8400000000000201E-2</v>
      </c>
    </row>
    <row r="67" spans="2:7" x14ac:dyDescent="0.2">
      <c r="B67">
        <v>140</v>
      </c>
      <c r="C67" s="4">
        <f t="shared" si="5"/>
        <v>58.3333333333333</v>
      </c>
      <c r="D67" s="4">
        <v>2.7385000000000002</v>
      </c>
      <c r="E67" s="4">
        <v>2.7557</v>
      </c>
      <c r="F67" s="4">
        <v>2.7265000000000001</v>
      </c>
      <c r="G67" s="4">
        <f t="shared" si="4"/>
        <v>1.7199999999999899E-2</v>
      </c>
    </row>
    <row r="68" spans="2:7" x14ac:dyDescent="0.2">
      <c r="B68">
        <v>150</v>
      </c>
      <c r="C68" s="4">
        <f t="shared" si="5"/>
        <v>60</v>
      </c>
      <c r="D68" s="4">
        <v>2.7406999999999999</v>
      </c>
      <c r="E68" s="4">
        <v>2.7608000000000001</v>
      </c>
      <c r="F68" s="4">
        <v>2.7277</v>
      </c>
      <c r="G68" s="4">
        <f t="shared" si="4"/>
        <v>2.0100000000000201E-2</v>
      </c>
    </row>
    <row r="69" spans="2:7" x14ac:dyDescent="0.2">
      <c r="B69">
        <v>160</v>
      </c>
      <c r="C69" s="4">
        <f t="shared" si="5"/>
        <v>61.538461538461497</v>
      </c>
      <c r="D69" s="4">
        <v>2.7435999999999998</v>
      </c>
      <c r="E69" s="4">
        <v>2.7627999999999999</v>
      </c>
      <c r="F69" s="4">
        <v>2.7302</v>
      </c>
      <c r="G69" s="4">
        <f t="shared" si="4"/>
        <v>1.9200000000000099E-2</v>
      </c>
    </row>
    <row r="70" spans="2:7" x14ac:dyDescent="0.2">
      <c r="B70">
        <v>170</v>
      </c>
      <c r="C70" s="4">
        <f t="shared" si="5"/>
        <v>62.962962962962997</v>
      </c>
      <c r="D70" s="4">
        <v>2.7444999999999999</v>
      </c>
      <c r="E70" s="4">
        <v>2.7616000000000001</v>
      </c>
      <c r="F70" s="4">
        <v>2.7277</v>
      </c>
      <c r="G70" s="4">
        <f t="shared" si="4"/>
        <v>1.7100000000000101E-2</v>
      </c>
    </row>
    <row r="71" spans="2:7" x14ac:dyDescent="0.2">
      <c r="B71">
        <v>180</v>
      </c>
      <c r="C71" s="4">
        <f t="shared" si="5"/>
        <v>64.285714285714306</v>
      </c>
      <c r="D71" s="4">
        <v>2.7448999999999999</v>
      </c>
      <c r="E71" s="4">
        <v>2.7612999999999999</v>
      </c>
      <c r="F71" s="4">
        <v>2.7303999999999999</v>
      </c>
      <c r="G71" s="4">
        <f t="shared" si="4"/>
        <v>1.6400000000000001E-2</v>
      </c>
    </row>
    <row r="72" spans="2:7" x14ac:dyDescent="0.2">
      <c r="B72">
        <v>190</v>
      </c>
      <c r="C72" s="4">
        <f t="shared" si="5"/>
        <v>65.517241379310306</v>
      </c>
      <c r="D72" s="4">
        <v>2.7464</v>
      </c>
      <c r="E72" s="4">
        <v>2.7643</v>
      </c>
      <c r="F72" s="4">
        <v>2.7330999999999999</v>
      </c>
      <c r="G72" s="4">
        <f t="shared" si="4"/>
        <v>1.7899999999999999E-2</v>
      </c>
    </row>
    <row r="73" spans="2:7" x14ac:dyDescent="0.2">
      <c r="B73">
        <v>200</v>
      </c>
      <c r="C73" s="4">
        <f t="shared" si="5"/>
        <v>66.6666666666667</v>
      </c>
      <c r="D73" s="4">
        <v>2.7477</v>
      </c>
      <c r="E73" s="4">
        <v>2.7684000000000002</v>
      </c>
      <c r="F73" s="4">
        <v>2.7338</v>
      </c>
      <c r="G73" s="4">
        <f t="shared" si="4"/>
        <v>2.0700000000000201E-2</v>
      </c>
    </row>
    <row r="74" spans="2:7" x14ac:dyDescent="0.2">
      <c r="B74" t="s">
        <v>6</v>
      </c>
      <c r="D74" s="4">
        <v>2.7704</v>
      </c>
      <c r="E74" s="4">
        <v>2.7915000000000001</v>
      </c>
      <c r="F74" s="4">
        <v>2.7536999999999998</v>
      </c>
      <c r="G74" s="4">
        <f t="shared" si="4"/>
        <v>2.1100000000000101E-2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74"/>
  <sheetViews>
    <sheetView topLeftCell="D1" zoomScale="125" zoomScaleNormal="125" workbookViewId="0">
      <selection activeCell="G59" sqref="G59"/>
    </sheetView>
  </sheetViews>
  <sheetFormatPr baseColWidth="10" defaultColWidth="9" defaultRowHeight="15" x14ac:dyDescent="0.2"/>
  <cols>
    <col min="3" max="3" width="9" hidden="1" customWidth="1"/>
    <col min="8" max="8" width="9" customWidth="1"/>
  </cols>
  <sheetData>
    <row r="1" spans="2:8" x14ac:dyDescent="0.2">
      <c r="C1" s="1">
        <v>100</v>
      </c>
      <c r="G1" s="4">
        <f>AVERAGE(G3:G23)</f>
        <v>2.03838571428571</v>
      </c>
    </row>
    <row r="2" spans="2:8" ht="17" x14ac:dyDescent="0.2">
      <c r="B2" s="1" t="s">
        <v>0</v>
      </c>
      <c r="C2" s="1"/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8" x14ac:dyDescent="0.2">
      <c r="B3">
        <v>0</v>
      </c>
      <c r="D3" s="4">
        <v>3.3399999999999902E-2</v>
      </c>
      <c r="E3" s="4">
        <v>2.0722999999999998</v>
      </c>
      <c r="F3" s="4">
        <v>1.9874000000000001</v>
      </c>
      <c r="G3" s="4">
        <f t="shared" ref="G3:G23" si="0">MAX((E3-D3),(D3-F3))</f>
        <v>2.0388999999999999</v>
      </c>
      <c r="H3" s="5"/>
    </row>
    <row r="4" spans="2:8" x14ac:dyDescent="0.2">
      <c r="B4">
        <v>10</v>
      </c>
      <c r="C4" s="4">
        <f t="shared" ref="C4:C23" si="1">1/((1/C$1)+(1/$B4))</f>
        <v>9.0909090909090899</v>
      </c>
      <c r="D4" s="4">
        <v>0.30659999999999998</v>
      </c>
      <c r="E4" s="4">
        <v>2.3422999999999998</v>
      </c>
      <c r="F4" s="4">
        <v>2.2652000000000001</v>
      </c>
      <c r="G4" s="4">
        <f t="shared" si="0"/>
        <v>2.0356999999999998</v>
      </c>
      <c r="H4" s="5"/>
    </row>
    <row r="5" spans="2:8" x14ac:dyDescent="0.2">
      <c r="B5">
        <v>20</v>
      </c>
      <c r="C5" s="4">
        <f t="shared" si="1"/>
        <v>16.6666666666667</v>
      </c>
      <c r="D5" s="4">
        <v>0.43269999999999997</v>
      </c>
      <c r="E5" s="4">
        <v>2.4666999999999999</v>
      </c>
      <c r="F5" s="4">
        <v>2.3839999999999999</v>
      </c>
      <c r="G5" s="4">
        <f t="shared" si="0"/>
        <v>2.0339999999999998</v>
      </c>
      <c r="H5" s="5"/>
    </row>
    <row r="6" spans="2:8" x14ac:dyDescent="0.2">
      <c r="B6">
        <v>30</v>
      </c>
      <c r="C6" s="4">
        <f t="shared" si="1"/>
        <v>23.076923076923102</v>
      </c>
      <c r="D6" s="4">
        <v>0.50170000000000003</v>
      </c>
      <c r="E6" s="4">
        <v>2.5400999999999998</v>
      </c>
      <c r="F6" s="4">
        <v>2.4559000000000002</v>
      </c>
      <c r="G6" s="4">
        <f t="shared" si="0"/>
        <v>2.0384000000000002</v>
      </c>
      <c r="H6" s="5"/>
    </row>
    <row r="7" spans="2:8" x14ac:dyDescent="0.2">
      <c r="B7">
        <v>40</v>
      </c>
      <c r="C7" s="4">
        <f t="shared" si="1"/>
        <v>28.571428571428601</v>
      </c>
      <c r="D7" s="4">
        <v>0.54279999999999995</v>
      </c>
      <c r="E7" s="4">
        <v>2.5808</v>
      </c>
      <c r="F7" s="4">
        <v>2.5032999999999999</v>
      </c>
      <c r="G7" s="4">
        <f t="shared" si="0"/>
        <v>2.0379999999999998</v>
      </c>
      <c r="H7" s="5"/>
    </row>
    <row r="8" spans="2:8" x14ac:dyDescent="0.2">
      <c r="B8">
        <v>50</v>
      </c>
      <c r="C8" s="4">
        <f t="shared" si="1"/>
        <v>33.3333333333333</v>
      </c>
      <c r="D8" s="4">
        <v>0.57189999999999996</v>
      </c>
      <c r="E8" s="4">
        <v>2.6071</v>
      </c>
      <c r="F8" s="4">
        <v>2.5303</v>
      </c>
      <c r="G8" s="4">
        <f t="shared" si="0"/>
        <v>2.0352000000000001</v>
      </c>
      <c r="H8" s="5"/>
    </row>
    <row r="9" spans="2:8" x14ac:dyDescent="0.2">
      <c r="B9">
        <v>60</v>
      </c>
      <c r="C9" s="4">
        <f t="shared" si="1"/>
        <v>37.5</v>
      </c>
      <c r="D9" s="4">
        <v>0.59089999999999998</v>
      </c>
      <c r="E9" s="4">
        <v>2.625</v>
      </c>
      <c r="F9" s="4">
        <v>2.5497000000000001</v>
      </c>
      <c r="G9" s="4">
        <f t="shared" si="0"/>
        <v>2.0341</v>
      </c>
      <c r="H9" s="5"/>
    </row>
    <row r="10" spans="2:8" x14ac:dyDescent="0.2">
      <c r="B10">
        <v>70</v>
      </c>
      <c r="C10" s="4">
        <f t="shared" si="1"/>
        <v>41.176470588235297</v>
      </c>
      <c r="D10" s="4">
        <v>0.60489999999999999</v>
      </c>
      <c r="E10" s="4">
        <v>2.6427</v>
      </c>
      <c r="F10" s="4">
        <v>2.5653999999999999</v>
      </c>
      <c r="G10" s="4">
        <f t="shared" si="0"/>
        <v>2.0377999999999998</v>
      </c>
      <c r="H10" s="5"/>
    </row>
    <row r="11" spans="2:8" x14ac:dyDescent="0.2">
      <c r="B11">
        <v>80</v>
      </c>
      <c r="C11" s="4">
        <f t="shared" si="1"/>
        <v>44.4444444444444</v>
      </c>
      <c r="D11" s="4">
        <v>0.61660000000000004</v>
      </c>
      <c r="E11" s="4">
        <v>2.6526999999999998</v>
      </c>
      <c r="F11" s="4">
        <v>2.5720000000000001</v>
      </c>
      <c r="G11" s="4">
        <f t="shared" si="0"/>
        <v>2.0360999999999998</v>
      </c>
      <c r="H11" s="5"/>
    </row>
    <row r="12" spans="2:8" x14ac:dyDescent="0.2">
      <c r="B12">
        <v>90</v>
      </c>
      <c r="C12" s="4">
        <f t="shared" si="1"/>
        <v>47.368421052631597</v>
      </c>
      <c r="D12" s="4">
        <v>0.62580000000000002</v>
      </c>
      <c r="E12" s="4">
        <v>2.6608000000000001</v>
      </c>
      <c r="F12" s="4">
        <v>2.5859999999999999</v>
      </c>
      <c r="G12" s="4">
        <f t="shared" si="0"/>
        <v>2.0350000000000001</v>
      </c>
      <c r="H12" s="5"/>
    </row>
    <row r="13" spans="2:8" x14ac:dyDescent="0.2">
      <c r="B13">
        <v>100</v>
      </c>
      <c r="C13" s="4">
        <f t="shared" si="1"/>
        <v>50</v>
      </c>
      <c r="D13" s="4">
        <v>0.63380000000000003</v>
      </c>
      <c r="E13" s="4">
        <v>2.6709000000000001</v>
      </c>
      <c r="F13" s="4">
        <v>2.5897000000000001</v>
      </c>
      <c r="G13" s="4">
        <f t="shared" si="0"/>
        <v>2.0371000000000001</v>
      </c>
      <c r="H13" s="5"/>
    </row>
    <row r="14" spans="2:8" x14ac:dyDescent="0.2">
      <c r="B14">
        <v>110</v>
      </c>
      <c r="C14" s="4">
        <f t="shared" si="1"/>
        <v>52.380952380952401</v>
      </c>
      <c r="D14" s="4">
        <v>0.64029999999999998</v>
      </c>
      <c r="E14" s="4">
        <v>2.6791999999999998</v>
      </c>
      <c r="F14" s="4">
        <v>2.6013999999999999</v>
      </c>
      <c r="G14" s="4">
        <f t="shared" si="0"/>
        <v>2.0388999999999999</v>
      </c>
      <c r="H14" s="5"/>
    </row>
    <row r="15" spans="2:8" x14ac:dyDescent="0.2">
      <c r="B15">
        <v>120</v>
      </c>
      <c r="C15" s="4">
        <f t="shared" si="1"/>
        <v>54.545454545454497</v>
      </c>
      <c r="D15" s="4">
        <v>0.64559999999999995</v>
      </c>
      <c r="E15" s="4">
        <v>2.6854</v>
      </c>
      <c r="F15" s="4">
        <v>2.6019000000000001</v>
      </c>
      <c r="G15" s="4">
        <f t="shared" si="0"/>
        <v>2.0398000000000001</v>
      </c>
      <c r="H15" s="5"/>
    </row>
    <row r="16" spans="2:8" x14ac:dyDescent="0.2">
      <c r="B16">
        <v>130</v>
      </c>
      <c r="C16" s="4">
        <f t="shared" si="1"/>
        <v>56.521739130434803</v>
      </c>
      <c r="D16" s="4">
        <v>0.65029999999999999</v>
      </c>
      <c r="E16" s="4">
        <v>2.6924999999999999</v>
      </c>
      <c r="F16" s="4">
        <v>2.6996000000000002</v>
      </c>
      <c r="G16" s="4">
        <f t="shared" si="0"/>
        <v>2.0421999999999998</v>
      </c>
      <c r="H16" s="5"/>
    </row>
    <row r="17" spans="2:8" x14ac:dyDescent="0.2">
      <c r="B17">
        <v>140</v>
      </c>
      <c r="C17" s="4">
        <f t="shared" si="1"/>
        <v>58.3333333333333</v>
      </c>
      <c r="D17" s="4">
        <v>0.65449999999999997</v>
      </c>
      <c r="E17" s="4">
        <v>2.6926999999999999</v>
      </c>
      <c r="F17" s="4">
        <v>2.6105</v>
      </c>
      <c r="G17" s="4">
        <f t="shared" si="0"/>
        <v>2.0381999999999998</v>
      </c>
      <c r="H17" s="5"/>
    </row>
    <row r="18" spans="2:8" x14ac:dyDescent="0.2">
      <c r="B18">
        <v>150</v>
      </c>
      <c r="C18" s="4">
        <f t="shared" si="1"/>
        <v>60</v>
      </c>
      <c r="D18" s="4">
        <v>0.65820000000000001</v>
      </c>
      <c r="E18" s="4">
        <v>2.6959</v>
      </c>
      <c r="F18" s="4">
        <v>2.6189</v>
      </c>
      <c r="G18" s="4">
        <f t="shared" si="0"/>
        <v>2.0377000000000001</v>
      </c>
      <c r="H18" s="5"/>
    </row>
    <row r="19" spans="2:8" x14ac:dyDescent="0.2">
      <c r="B19">
        <v>160</v>
      </c>
      <c r="C19" s="4">
        <f t="shared" si="1"/>
        <v>61.538461538461497</v>
      </c>
      <c r="D19" s="4">
        <v>0.66090000000000004</v>
      </c>
      <c r="E19" s="4">
        <v>2.7042999999999999</v>
      </c>
      <c r="F19" s="4">
        <v>2.6183999999999998</v>
      </c>
      <c r="G19" s="4">
        <f t="shared" si="0"/>
        <v>2.0434000000000001</v>
      </c>
      <c r="H19" s="5"/>
    </row>
    <row r="20" spans="2:8" x14ac:dyDescent="0.2">
      <c r="B20">
        <v>170</v>
      </c>
      <c r="C20" s="4">
        <f t="shared" si="1"/>
        <v>62.962962962962997</v>
      </c>
      <c r="D20" s="4">
        <v>0.6633</v>
      </c>
      <c r="E20" s="4">
        <v>2.6991000000000001</v>
      </c>
      <c r="F20" s="4">
        <v>2.6141999999999999</v>
      </c>
      <c r="G20" s="4">
        <f t="shared" si="0"/>
        <v>2.0358000000000001</v>
      </c>
      <c r="H20" s="5"/>
    </row>
    <row r="21" spans="2:8" x14ac:dyDescent="0.2">
      <c r="B21">
        <v>180</v>
      </c>
      <c r="C21" s="4">
        <f t="shared" si="1"/>
        <v>64.285714285714306</v>
      </c>
      <c r="D21" s="4">
        <v>0.66549999999999998</v>
      </c>
      <c r="E21" s="4">
        <v>2.7054999999999998</v>
      </c>
      <c r="F21" s="4">
        <v>2.6189</v>
      </c>
      <c r="G21" s="4">
        <f t="shared" si="0"/>
        <v>2.04</v>
      </c>
      <c r="H21" s="5"/>
    </row>
    <row r="22" spans="2:8" x14ac:dyDescent="0.2">
      <c r="B22">
        <v>190</v>
      </c>
      <c r="C22" s="4">
        <f t="shared" si="1"/>
        <v>65.517241379310306</v>
      </c>
      <c r="D22" s="4">
        <v>0.66820000000000002</v>
      </c>
      <c r="E22" s="4">
        <v>2.7080000000000002</v>
      </c>
      <c r="F22" s="4">
        <v>2.6208</v>
      </c>
      <c r="G22" s="4">
        <f t="shared" si="0"/>
        <v>2.0398000000000001</v>
      </c>
      <c r="H22" s="5"/>
    </row>
    <row r="23" spans="2:8" x14ac:dyDescent="0.2">
      <c r="B23">
        <v>200</v>
      </c>
      <c r="C23" s="4">
        <f t="shared" si="1"/>
        <v>66.6666666666667</v>
      </c>
      <c r="D23" s="4">
        <v>0.67020000000000002</v>
      </c>
      <c r="E23" s="4">
        <v>2.7202000000000002</v>
      </c>
      <c r="F23" s="4">
        <v>2.6316000000000002</v>
      </c>
      <c r="G23" s="4">
        <f t="shared" si="0"/>
        <v>2.0499999999999998</v>
      </c>
      <c r="H23" s="5"/>
    </row>
    <row r="25" spans="2:8" x14ac:dyDescent="0.2">
      <c r="G25" s="4"/>
    </row>
    <row r="26" spans="2:8" x14ac:dyDescent="0.2">
      <c r="C26" s="1">
        <v>50</v>
      </c>
      <c r="G26" s="4">
        <f>AVERAGE(G28:G45)</f>
        <v>2.0159888888888902</v>
      </c>
    </row>
    <row r="27" spans="2:8" ht="17" x14ac:dyDescent="0.2">
      <c r="B27" s="1" t="s">
        <v>0</v>
      </c>
      <c r="D27" s="1" t="s">
        <v>1</v>
      </c>
      <c r="E27" s="1" t="s">
        <v>2</v>
      </c>
      <c r="F27" s="1" t="s">
        <v>3</v>
      </c>
      <c r="G27" s="1" t="s">
        <v>4</v>
      </c>
      <c r="H27" t="s">
        <v>5</v>
      </c>
    </row>
    <row r="28" spans="2:8" x14ac:dyDescent="0.2">
      <c r="B28">
        <v>0</v>
      </c>
      <c r="C28" s="4"/>
      <c r="D28" s="5">
        <v>8.7000000000001503E-3</v>
      </c>
      <c r="E28" s="5">
        <v>2.0209000000000001</v>
      </c>
      <c r="F28" s="5">
        <v>1.9922</v>
      </c>
      <c r="G28" s="4">
        <f t="shared" ref="G28:G48" si="2">MAX((E28-D28),(D28-F28))</f>
        <v>2.0122</v>
      </c>
      <c r="H28" s="5"/>
    </row>
    <row r="29" spans="2:8" x14ac:dyDescent="0.2">
      <c r="B29">
        <v>10</v>
      </c>
      <c r="C29" s="4">
        <f>1/((1/C$26)+(1/$B29))</f>
        <v>8.3333333333333304</v>
      </c>
      <c r="D29" s="5">
        <v>0.2576</v>
      </c>
      <c r="E29" s="5">
        <v>2.2719999999999998</v>
      </c>
      <c r="F29" s="5">
        <v>2.2450000000000001</v>
      </c>
      <c r="G29" s="4">
        <f t="shared" si="2"/>
        <v>2.0144000000000002</v>
      </c>
      <c r="H29" s="5"/>
    </row>
    <row r="30" spans="2:8" x14ac:dyDescent="0.2">
      <c r="B30">
        <v>20</v>
      </c>
      <c r="C30" s="4">
        <f t="shared" ref="C30:C48" si="3">1/((1/C$26)+(1/$B30))</f>
        <v>14.285714285714301</v>
      </c>
      <c r="D30" s="5">
        <v>0.37019999999999997</v>
      </c>
      <c r="E30" s="5">
        <v>2.3845999999999998</v>
      </c>
      <c r="F30" s="5">
        <v>2.3591000000000002</v>
      </c>
      <c r="G30" s="4">
        <f t="shared" si="2"/>
        <v>2.0144000000000002</v>
      </c>
      <c r="H30" s="5"/>
    </row>
    <row r="31" spans="2:8" x14ac:dyDescent="0.2">
      <c r="B31">
        <v>30</v>
      </c>
      <c r="C31" s="4">
        <f t="shared" si="3"/>
        <v>18.75</v>
      </c>
      <c r="D31" s="5">
        <v>0.42630000000000001</v>
      </c>
      <c r="E31" s="5">
        <v>2.4418000000000002</v>
      </c>
      <c r="F31" s="5">
        <v>2.4131999999999998</v>
      </c>
      <c r="G31" s="4">
        <f t="shared" si="2"/>
        <v>2.0154999999999998</v>
      </c>
      <c r="H31" s="5"/>
    </row>
    <row r="32" spans="2:8" x14ac:dyDescent="0.2">
      <c r="B32">
        <v>40</v>
      </c>
      <c r="C32" s="4">
        <f t="shared" si="3"/>
        <v>22.2222222222222</v>
      </c>
      <c r="D32" s="5">
        <v>0.46500000000000002</v>
      </c>
      <c r="E32" s="5">
        <v>2.4851999999999999</v>
      </c>
      <c r="F32" s="5">
        <v>2.4519000000000002</v>
      </c>
      <c r="G32" s="4">
        <f t="shared" si="2"/>
        <v>2.0202</v>
      </c>
      <c r="H32" s="5"/>
    </row>
    <row r="33" spans="2:8" x14ac:dyDescent="0.2">
      <c r="B33">
        <v>50</v>
      </c>
      <c r="C33" s="4">
        <f t="shared" si="3"/>
        <v>25</v>
      </c>
      <c r="D33" s="5">
        <v>0.4889</v>
      </c>
      <c r="E33" s="5">
        <v>2.5017</v>
      </c>
      <c r="F33" s="5">
        <v>2.4763999999999999</v>
      </c>
      <c r="G33" s="4">
        <f t="shared" si="2"/>
        <v>2.0127999999999999</v>
      </c>
      <c r="H33" s="5"/>
    </row>
    <row r="34" spans="2:8" x14ac:dyDescent="0.2">
      <c r="B34">
        <v>60</v>
      </c>
      <c r="C34" s="4">
        <f t="shared" si="3"/>
        <v>27.272727272727298</v>
      </c>
      <c r="D34" s="5">
        <v>0.50590000000000002</v>
      </c>
      <c r="E34" s="5">
        <v>2.5217999999999998</v>
      </c>
      <c r="F34" s="5">
        <v>2.4921000000000002</v>
      </c>
      <c r="G34" s="4">
        <f t="shared" si="2"/>
        <v>2.0158999999999998</v>
      </c>
      <c r="H34" s="5"/>
    </row>
    <row r="35" spans="2:8" x14ac:dyDescent="0.2">
      <c r="B35">
        <v>70</v>
      </c>
      <c r="C35" s="4">
        <f t="shared" si="3"/>
        <v>29.1666666666667</v>
      </c>
      <c r="D35" s="5">
        <v>0.51980000000000004</v>
      </c>
      <c r="E35" s="5">
        <v>2.5341</v>
      </c>
      <c r="F35" s="5">
        <v>2.5076000000000001</v>
      </c>
      <c r="G35" s="4">
        <f t="shared" si="2"/>
        <v>2.0143</v>
      </c>
      <c r="H35" s="5"/>
    </row>
    <row r="36" spans="2:8" x14ac:dyDescent="0.2">
      <c r="B36">
        <v>80</v>
      </c>
      <c r="C36" s="4">
        <f t="shared" si="3"/>
        <v>30.769230769230798</v>
      </c>
      <c r="D36" s="5">
        <v>0.53120000000000001</v>
      </c>
      <c r="E36" s="5">
        <v>2.5512999999999999</v>
      </c>
      <c r="F36" s="5">
        <v>2.5184000000000002</v>
      </c>
      <c r="G36" s="4">
        <f t="shared" si="2"/>
        <v>2.0200999999999998</v>
      </c>
      <c r="H36" s="5"/>
    </row>
    <row r="37" spans="2:8" x14ac:dyDescent="0.2">
      <c r="B37">
        <v>90</v>
      </c>
      <c r="C37" s="4">
        <f t="shared" si="3"/>
        <v>32.142857142857103</v>
      </c>
      <c r="D37" s="5">
        <v>0.54020000000000001</v>
      </c>
      <c r="E37" s="5">
        <v>2.5539999999999998</v>
      </c>
      <c r="F37" s="5">
        <v>2.5297000000000001</v>
      </c>
      <c r="G37" s="4">
        <f t="shared" si="2"/>
        <v>2.0137999999999998</v>
      </c>
      <c r="H37" s="5"/>
    </row>
    <row r="38" spans="2:8" x14ac:dyDescent="0.2">
      <c r="B38">
        <v>100</v>
      </c>
      <c r="C38" s="4">
        <f t="shared" si="3"/>
        <v>33.3333333333333</v>
      </c>
      <c r="D38" s="5">
        <v>0.54630000000000001</v>
      </c>
      <c r="E38" s="5">
        <v>2.5655000000000001</v>
      </c>
      <c r="F38" s="5">
        <v>2.5316000000000001</v>
      </c>
      <c r="G38" s="4">
        <f t="shared" si="2"/>
        <v>2.0192000000000001</v>
      </c>
      <c r="H38" s="5"/>
    </row>
    <row r="39" spans="2:8" x14ac:dyDescent="0.2">
      <c r="B39">
        <v>110</v>
      </c>
      <c r="C39" s="4">
        <f t="shared" si="3"/>
        <v>34.375</v>
      </c>
      <c r="D39" s="5">
        <v>0.55159999999999998</v>
      </c>
      <c r="E39" s="5">
        <v>2.5701999999999998</v>
      </c>
      <c r="F39" s="5">
        <v>2.5390000000000001</v>
      </c>
      <c r="G39" s="4">
        <f t="shared" si="2"/>
        <v>2.0186000000000002</v>
      </c>
      <c r="H39" s="5"/>
    </row>
    <row r="40" spans="2:8" x14ac:dyDescent="0.2">
      <c r="B40">
        <v>120</v>
      </c>
      <c r="C40" s="4">
        <f t="shared" si="3"/>
        <v>35.294117647058798</v>
      </c>
      <c r="D40" s="5">
        <v>0.55649999999999999</v>
      </c>
      <c r="E40" s="5">
        <v>2.5743</v>
      </c>
      <c r="F40" s="5">
        <v>2.5446</v>
      </c>
      <c r="G40" s="4">
        <f t="shared" si="2"/>
        <v>2.0177999999999998</v>
      </c>
      <c r="H40" s="5"/>
    </row>
    <row r="41" spans="2:8" x14ac:dyDescent="0.2">
      <c r="B41">
        <v>130</v>
      </c>
      <c r="C41" s="4">
        <f t="shared" si="3"/>
        <v>36.1111111111111</v>
      </c>
      <c r="D41" s="5">
        <v>0.56010000000000004</v>
      </c>
      <c r="E41" s="5">
        <v>2.5716000000000001</v>
      </c>
      <c r="F41" s="5">
        <v>2.5488</v>
      </c>
      <c r="G41" s="4">
        <f t="shared" si="2"/>
        <v>2.0114999999999998</v>
      </c>
      <c r="H41" s="5"/>
    </row>
    <row r="42" spans="2:8" x14ac:dyDescent="0.2">
      <c r="B42">
        <v>140</v>
      </c>
      <c r="C42" s="4">
        <f t="shared" si="3"/>
        <v>36.842105263157897</v>
      </c>
      <c r="D42" s="5">
        <v>0.56579999999999997</v>
      </c>
      <c r="E42" s="5">
        <v>2.5832000000000002</v>
      </c>
      <c r="F42" s="5">
        <v>2.5537000000000001</v>
      </c>
      <c r="G42" s="4">
        <f t="shared" si="2"/>
        <v>2.0173999999999999</v>
      </c>
      <c r="H42" s="5"/>
    </row>
    <row r="43" spans="2:8" x14ac:dyDescent="0.2">
      <c r="B43">
        <v>150</v>
      </c>
      <c r="C43" s="4">
        <f t="shared" si="3"/>
        <v>37.5</v>
      </c>
      <c r="D43" s="5">
        <v>0.56740000000000002</v>
      </c>
      <c r="E43" s="5">
        <v>2.5868000000000002</v>
      </c>
      <c r="F43" s="5">
        <v>2.5537000000000001</v>
      </c>
      <c r="G43" s="4">
        <f t="shared" si="2"/>
        <v>2.0194000000000001</v>
      </c>
      <c r="H43" s="5"/>
    </row>
    <row r="44" spans="2:8" x14ac:dyDescent="0.2">
      <c r="B44">
        <v>160</v>
      </c>
      <c r="C44" s="4">
        <f t="shared" si="3"/>
        <v>38.095238095238102</v>
      </c>
      <c r="D44" s="5">
        <v>0.57150000000000001</v>
      </c>
      <c r="E44" s="5">
        <v>2.5846</v>
      </c>
      <c r="F44" s="5">
        <v>2.5596000000000001</v>
      </c>
      <c r="G44" s="4">
        <f t="shared" si="2"/>
        <v>2.0131000000000001</v>
      </c>
      <c r="H44" s="5"/>
    </row>
    <row r="45" spans="2:8" x14ac:dyDescent="0.2">
      <c r="B45">
        <v>170</v>
      </c>
      <c r="C45" s="4">
        <f t="shared" si="3"/>
        <v>38.636363636363598</v>
      </c>
      <c r="D45" s="5">
        <v>0.57279999999999998</v>
      </c>
      <c r="E45" s="5">
        <v>2.59</v>
      </c>
      <c r="F45" s="5">
        <v>2.5615999999999999</v>
      </c>
      <c r="G45" s="4">
        <f t="shared" si="2"/>
        <v>2.0171999999999999</v>
      </c>
      <c r="H45" s="5"/>
    </row>
    <row r="46" spans="2:8" x14ac:dyDescent="0.2">
      <c r="B46">
        <v>180</v>
      </c>
      <c r="C46" s="4">
        <f t="shared" si="3"/>
        <v>39.130434782608702</v>
      </c>
      <c r="D46" s="5"/>
      <c r="E46" s="5"/>
      <c r="F46" s="5"/>
      <c r="G46" s="4">
        <f t="shared" si="2"/>
        <v>0</v>
      </c>
      <c r="H46" s="5"/>
    </row>
    <row r="47" spans="2:8" x14ac:dyDescent="0.2">
      <c r="B47">
        <v>190</v>
      </c>
      <c r="C47" s="4">
        <f t="shared" si="3"/>
        <v>39.5833333333333</v>
      </c>
      <c r="D47" s="5"/>
      <c r="E47" s="5"/>
      <c r="F47" s="5"/>
      <c r="G47" s="4">
        <f t="shared" si="2"/>
        <v>0</v>
      </c>
      <c r="H47" s="5"/>
    </row>
    <row r="48" spans="2:8" x14ac:dyDescent="0.2">
      <c r="B48">
        <v>200</v>
      </c>
      <c r="C48" s="4">
        <f t="shared" si="3"/>
        <v>40</v>
      </c>
      <c r="D48" s="5"/>
      <c r="E48" s="5"/>
      <c r="F48" s="5"/>
      <c r="G48" s="4">
        <f t="shared" si="2"/>
        <v>0</v>
      </c>
      <c r="H48" s="5"/>
    </row>
    <row r="51" spans="2:8" x14ac:dyDescent="0.2">
      <c r="G51" s="4">
        <f>AVERAGE(G53:G73)</f>
        <v>2.0204238095238098</v>
      </c>
    </row>
    <row r="52" spans="2:8" ht="17" x14ac:dyDescent="0.2">
      <c r="B52" s="1" t="s">
        <v>0</v>
      </c>
      <c r="C52" s="1"/>
      <c r="D52" s="1" t="s">
        <v>1</v>
      </c>
      <c r="E52" s="1" t="s">
        <v>2</v>
      </c>
      <c r="F52" s="1" t="s">
        <v>3</v>
      </c>
      <c r="G52" s="1" t="s">
        <v>4</v>
      </c>
    </row>
    <row r="53" spans="2:8" x14ac:dyDescent="0.2">
      <c r="B53">
        <v>0</v>
      </c>
      <c r="D53" s="4">
        <v>5.1699999999999899E-2</v>
      </c>
      <c r="E53" s="4">
        <v>2.0722999999999998</v>
      </c>
      <c r="F53" s="4">
        <v>1.9874000000000001</v>
      </c>
      <c r="G53" s="4">
        <f t="shared" ref="G53:G74" si="4">MAX((E53-D53),(D53-F53))</f>
        <v>2.0206</v>
      </c>
      <c r="H53" s="5"/>
    </row>
    <row r="54" spans="2:8" x14ac:dyDescent="0.2">
      <c r="B54">
        <v>10</v>
      </c>
      <c r="C54" s="4">
        <f t="shared" ref="C54:C73" si="5">1/((1/C$1)+(1/$B54))</f>
        <v>9.0909090909090899</v>
      </c>
      <c r="D54" s="4">
        <v>0.37359999999999999</v>
      </c>
      <c r="E54" s="4">
        <v>2.3942000000000001</v>
      </c>
      <c r="F54" s="4">
        <v>2.3578999999999999</v>
      </c>
      <c r="G54" s="4">
        <f t="shared" si="4"/>
        <v>2.0206</v>
      </c>
      <c r="H54" s="5"/>
    </row>
    <row r="55" spans="2:8" x14ac:dyDescent="0.2">
      <c r="B55">
        <v>20</v>
      </c>
      <c r="C55" s="4">
        <f t="shared" si="5"/>
        <v>16.6666666666667</v>
      </c>
      <c r="D55" s="4">
        <v>0.51239999999999997</v>
      </c>
      <c r="E55" s="4">
        <v>2.5324</v>
      </c>
      <c r="F55" s="4">
        <v>2.4967999999999999</v>
      </c>
      <c r="G55" s="4">
        <f t="shared" si="4"/>
        <v>2.02</v>
      </c>
      <c r="H55" s="5"/>
    </row>
    <row r="56" spans="2:8" x14ac:dyDescent="0.2">
      <c r="B56">
        <v>30</v>
      </c>
      <c r="C56" s="4">
        <f t="shared" si="5"/>
        <v>23.076923076923102</v>
      </c>
      <c r="D56" s="4">
        <v>0.58689999999999998</v>
      </c>
      <c r="E56" s="4">
        <v>2.6074999999999999</v>
      </c>
      <c r="F56" s="4">
        <v>2.5731000000000002</v>
      </c>
      <c r="G56" s="4">
        <f t="shared" si="4"/>
        <v>2.0206</v>
      </c>
      <c r="H56" s="5"/>
    </row>
    <row r="57" spans="2:8" x14ac:dyDescent="0.2">
      <c r="B57">
        <v>40</v>
      </c>
      <c r="C57" s="4">
        <f t="shared" si="5"/>
        <v>28.571428571428601</v>
      </c>
      <c r="D57" s="4">
        <v>0.63249999999999995</v>
      </c>
      <c r="E57" s="4">
        <v>2.6636000000000002</v>
      </c>
      <c r="F57" s="4">
        <v>2.6187</v>
      </c>
      <c r="G57" s="4">
        <f t="shared" si="4"/>
        <v>2.0310999999999999</v>
      </c>
      <c r="H57" s="5"/>
    </row>
    <row r="58" spans="2:8" x14ac:dyDescent="0.2">
      <c r="B58">
        <v>50</v>
      </c>
      <c r="C58" s="4">
        <f t="shared" si="5"/>
        <v>33.3333333333333</v>
      </c>
      <c r="D58" s="4">
        <v>0.66210000000000002</v>
      </c>
      <c r="E58" s="4">
        <v>2.6829999999999998</v>
      </c>
      <c r="F58" s="4">
        <v>2.6488999999999998</v>
      </c>
      <c r="G58" s="4">
        <f t="shared" si="4"/>
        <v>2.0209000000000001</v>
      </c>
      <c r="H58" s="5"/>
    </row>
    <row r="59" spans="2:8" x14ac:dyDescent="0.2">
      <c r="B59">
        <v>60</v>
      </c>
      <c r="C59" s="4">
        <f t="shared" si="5"/>
        <v>37.5</v>
      </c>
      <c r="D59" s="4">
        <v>0.6845</v>
      </c>
      <c r="E59" s="4">
        <v>2.7017000000000002</v>
      </c>
      <c r="F59" s="4">
        <v>2.6737000000000002</v>
      </c>
      <c r="G59" s="4">
        <f t="shared" si="4"/>
        <v>2.0171999999999999</v>
      </c>
      <c r="H59" s="5"/>
    </row>
    <row r="60" spans="2:8" x14ac:dyDescent="0.2">
      <c r="B60">
        <v>70</v>
      </c>
      <c r="C60" s="4">
        <f t="shared" si="5"/>
        <v>41.176470588235297</v>
      </c>
      <c r="D60" s="4">
        <v>0.69869999999999999</v>
      </c>
      <c r="E60" s="4">
        <v>2.7216</v>
      </c>
      <c r="F60" s="4">
        <v>2.6833</v>
      </c>
      <c r="G60" s="4">
        <f t="shared" si="4"/>
        <v>2.0228999999999999</v>
      </c>
      <c r="H60" s="5"/>
    </row>
    <row r="61" spans="2:8" x14ac:dyDescent="0.2">
      <c r="B61">
        <v>80</v>
      </c>
      <c r="C61" s="4">
        <f t="shared" si="5"/>
        <v>44.4444444444444</v>
      </c>
      <c r="D61" s="4">
        <v>0.70979999999999999</v>
      </c>
      <c r="E61" s="4">
        <v>2.7311000000000001</v>
      </c>
      <c r="F61" s="4">
        <v>2.6945999999999999</v>
      </c>
      <c r="G61" s="4">
        <f t="shared" si="4"/>
        <v>2.0213000000000001</v>
      </c>
      <c r="H61" s="5"/>
    </row>
    <row r="62" spans="2:8" x14ac:dyDescent="0.2">
      <c r="B62">
        <v>90</v>
      </c>
      <c r="C62" s="4">
        <f t="shared" si="5"/>
        <v>47.368421052631597</v>
      </c>
      <c r="D62" s="4">
        <v>0.71699999999999997</v>
      </c>
      <c r="E62" s="4">
        <v>2.7402000000000002</v>
      </c>
      <c r="F62" s="4">
        <v>2.7014</v>
      </c>
      <c r="G62" s="4">
        <f t="shared" si="4"/>
        <v>2.0232000000000001</v>
      </c>
      <c r="H62" s="5"/>
    </row>
    <row r="63" spans="2:8" x14ac:dyDescent="0.2">
      <c r="B63">
        <v>100</v>
      </c>
      <c r="C63" s="4">
        <f t="shared" si="5"/>
        <v>50</v>
      </c>
      <c r="D63" s="4">
        <v>0.72319999999999995</v>
      </c>
      <c r="E63" s="4">
        <v>2.7450999999999999</v>
      </c>
      <c r="F63" s="4">
        <v>2.7088000000000001</v>
      </c>
      <c r="G63" s="4">
        <f t="shared" si="4"/>
        <v>2.0219</v>
      </c>
      <c r="H63" s="5"/>
    </row>
    <row r="64" spans="2:8" x14ac:dyDescent="0.2">
      <c r="B64">
        <v>110</v>
      </c>
      <c r="C64" s="4">
        <f t="shared" si="5"/>
        <v>52.380952380952401</v>
      </c>
      <c r="D64" s="4">
        <v>0.72889999999999999</v>
      </c>
      <c r="E64" s="4">
        <v>2.7507999999999999</v>
      </c>
      <c r="F64" s="4">
        <v>2.7149999999999999</v>
      </c>
      <c r="G64" s="4">
        <f t="shared" si="4"/>
        <v>2.0219</v>
      </c>
      <c r="H64" s="5"/>
    </row>
    <row r="65" spans="2:8" x14ac:dyDescent="0.2">
      <c r="B65">
        <v>120</v>
      </c>
      <c r="C65" s="4">
        <f t="shared" si="5"/>
        <v>54.545454545454497</v>
      </c>
      <c r="D65" s="4">
        <v>0.73280000000000001</v>
      </c>
      <c r="E65" s="4">
        <v>2.7524999999999999</v>
      </c>
      <c r="F65" s="4">
        <v>2.7195999999999998</v>
      </c>
      <c r="G65" s="4">
        <f t="shared" si="4"/>
        <v>2.0196999999999998</v>
      </c>
      <c r="H65" s="5"/>
    </row>
    <row r="66" spans="2:8" x14ac:dyDescent="0.2">
      <c r="B66">
        <v>130</v>
      </c>
      <c r="C66" s="4">
        <f t="shared" si="5"/>
        <v>56.521739130434803</v>
      </c>
      <c r="D66" s="4">
        <v>0.73580000000000001</v>
      </c>
      <c r="E66" s="4">
        <v>2.7542</v>
      </c>
      <c r="F66" s="4">
        <v>2.7221000000000002</v>
      </c>
      <c r="G66" s="4">
        <f t="shared" si="4"/>
        <v>2.0184000000000002</v>
      </c>
      <c r="H66" s="5"/>
    </row>
    <row r="67" spans="2:8" x14ac:dyDescent="0.2">
      <c r="B67">
        <v>140</v>
      </c>
      <c r="C67" s="4">
        <f t="shared" si="5"/>
        <v>58.3333333333333</v>
      </c>
      <c r="D67" s="4">
        <v>0.73850000000000005</v>
      </c>
      <c r="E67" s="4">
        <v>2.7557</v>
      </c>
      <c r="F67" s="4">
        <v>2.7265000000000001</v>
      </c>
      <c r="G67" s="4">
        <f t="shared" si="4"/>
        <v>2.0171999999999999</v>
      </c>
      <c r="H67" s="5"/>
    </row>
    <row r="68" spans="2:8" x14ac:dyDescent="0.2">
      <c r="B68">
        <v>150</v>
      </c>
      <c r="C68" s="4">
        <f t="shared" si="5"/>
        <v>60</v>
      </c>
      <c r="D68" s="4">
        <v>0.74070000000000003</v>
      </c>
      <c r="E68" s="4">
        <v>2.7608000000000001</v>
      </c>
      <c r="F68" s="4">
        <v>2.7277</v>
      </c>
      <c r="G68" s="4">
        <f t="shared" si="4"/>
        <v>2.0200999999999998</v>
      </c>
      <c r="H68" s="5"/>
    </row>
    <row r="69" spans="2:8" x14ac:dyDescent="0.2">
      <c r="B69">
        <v>160</v>
      </c>
      <c r="C69" s="4">
        <f t="shared" si="5"/>
        <v>61.538461538461497</v>
      </c>
      <c r="D69" s="4">
        <v>0.74360000000000004</v>
      </c>
      <c r="E69" s="4">
        <v>2.7627999999999999</v>
      </c>
      <c r="F69" s="4">
        <v>2.7302</v>
      </c>
      <c r="G69" s="4">
        <f t="shared" si="4"/>
        <v>2.0192000000000001</v>
      </c>
      <c r="H69" s="5"/>
    </row>
    <row r="70" spans="2:8" x14ac:dyDescent="0.2">
      <c r="B70">
        <v>170</v>
      </c>
      <c r="C70" s="4">
        <f t="shared" si="5"/>
        <v>62.962962962962997</v>
      </c>
      <c r="D70" s="4">
        <v>0.74450000000000005</v>
      </c>
      <c r="E70" s="4">
        <v>2.7616000000000001</v>
      </c>
      <c r="F70" s="4">
        <v>2.7277</v>
      </c>
      <c r="G70" s="4">
        <f t="shared" si="4"/>
        <v>2.0171000000000001</v>
      </c>
      <c r="H70" s="5"/>
    </row>
    <row r="71" spans="2:8" x14ac:dyDescent="0.2">
      <c r="B71">
        <v>180</v>
      </c>
      <c r="C71" s="4">
        <f t="shared" si="5"/>
        <v>64.285714285714306</v>
      </c>
      <c r="D71" s="4">
        <v>0.74490000000000001</v>
      </c>
      <c r="E71" s="4">
        <v>2.7612999999999999</v>
      </c>
      <c r="F71" s="4">
        <v>2.7303999999999999</v>
      </c>
      <c r="G71" s="4">
        <f t="shared" si="4"/>
        <v>2.0164</v>
      </c>
      <c r="H71" s="5"/>
    </row>
    <row r="72" spans="2:8" x14ac:dyDescent="0.2">
      <c r="B72">
        <v>190</v>
      </c>
      <c r="C72" s="4">
        <f t="shared" si="5"/>
        <v>65.517241379310306</v>
      </c>
      <c r="D72" s="4">
        <v>0.74639999999999995</v>
      </c>
      <c r="E72" s="4">
        <v>2.7643</v>
      </c>
      <c r="F72" s="4">
        <v>2.7330999999999999</v>
      </c>
      <c r="G72" s="4">
        <f t="shared" si="4"/>
        <v>2.0179</v>
      </c>
      <c r="H72" s="5"/>
    </row>
    <row r="73" spans="2:8" x14ac:dyDescent="0.2">
      <c r="B73">
        <v>200</v>
      </c>
      <c r="C73" s="4">
        <f t="shared" si="5"/>
        <v>66.6666666666667</v>
      </c>
      <c r="D73" s="4">
        <v>0.74770000000000003</v>
      </c>
      <c r="E73" s="4">
        <v>2.7684000000000002</v>
      </c>
      <c r="F73" s="4">
        <v>2.7338</v>
      </c>
      <c r="G73" s="4">
        <f t="shared" si="4"/>
        <v>2.0207000000000002</v>
      </c>
      <c r="H73" s="5"/>
    </row>
    <row r="74" spans="2:8" x14ac:dyDescent="0.2">
      <c r="B74" t="s">
        <v>6</v>
      </c>
      <c r="D74" s="4">
        <v>0.77039999999999997</v>
      </c>
      <c r="E74" s="4">
        <v>2.7915000000000001</v>
      </c>
      <c r="F74" s="4">
        <v>2.7536999999999998</v>
      </c>
      <c r="G74" s="4">
        <f t="shared" si="4"/>
        <v>2.0211000000000001</v>
      </c>
      <c r="H74" s="5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"/>
  <sheetViews>
    <sheetView zoomScale="143" zoomScaleNormal="143" workbookViewId="0">
      <selection activeCell="F1" sqref="F1"/>
    </sheetView>
  </sheetViews>
  <sheetFormatPr baseColWidth="10" defaultColWidth="11" defaultRowHeight="15" x14ac:dyDescent="0.2"/>
  <cols>
    <col min="5" max="5" width="11.1640625" customWidth="1"/>
    <col min="6" max="6" width="12.1640625" customWidth="1"/>
  </cols>
  <sheetData>
    <row r="1" spans="2:7" x14ac:dyDescent="0.2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2:7" x14ac:dyDescent="0.2">
      <c r="B2">
        <v>1000</v>
      </c>
      <c r="C2">
        <v>5600</v>
      </c>
      <c r="D2">
        <f>2.2/1000000000</f>
        <v>2.1999999999999998E-9</v>
      </c>
      <c r="E2">
        <f>1.4/((B2+(2*C2))*D2)/1000</f>
        <v>52.160953800298103</v>
      </c>
      <c r="F2" s="3">
        <f>100*(B2+C2)/(B2+(2*C2))</f>
        <v>54.0983606557377</v>
      </c>
      <c r="G2" s="3">
        <f>100*B2/(B2+C2)</f>
        <v>15.1515151515152</v>
      </c>
    </row>
    <row r="3" spans="2:7" x14ac:dyDescent="0.2">
      <c r="B3">
        <v>1000</v>
      </c>
      <c r="C3">
        <v>22000</v>
      </c>
      <c r="D3">
        <f>2.2/1000000000</f>
        <v>2.1999999999999998E-9</v>
      </c>
      <c r="E3">
        <f>1.4/((B3+(2*C3))*D3)/1000</f>
        <v>14.141414141414099</v>
      </c>
      <c r="F3" s="3">
        <f>100*(B3+C3)/(B3+(2*C3))</f>
        <v>51.1111111111111</v>
      </c>
      <c r="G3" s="3">
        <f>100*B3/(B3+C3)</f>
        <v>4.3478260869565197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5"/>
  <sheetViews>
    <sheetView zoomScale="116" zoomScaleNormal="116" workbookViewId="0">
      <selection activeCell="B2" sqref="B2:C23"/>
    </sheetView>
  </sheetViews>
  <sheetFormatPr baseColWidth="10" defaultColWidth="9" defaultRowHeight="15" x14ac:dyDescent="0.2"/>
  <sheetData>
    <row r="2" spans="2:3" ht="17" x14ac:dyDescent="0.2">
      <c r="B2" s="1" t="s">
        <v>0</v>
      </c>
      <c r="C2" s="1" t="s">
        <v>1</v>
      </c>
    </row>
    <row r="3" spans="2:3" x14ac:dyDescent="0.2">
      <c r="B3">
        <v>0</v>
      </c>
      <c r="C3">
        <v>1.9E-3</v>
      </c>
    </row>
    <row r="4" spans="2:3" x14ac:dyDescent="0.2">
      <c r="B4">
        <v>10</v>
      </c>
      <c r="C4">
        <v>0.3982</v>
      </c>
    </row>
    <row r="5" spans="2:3" x14ac:dyDescent="0.2">
      <c r="B5">
        <v>20</v>
      </c>
      <c r="C5">
        <v>0.78859999999999997</v>
      </c>
    </row>
    <row r="6" spans="2:3" x14ac:dyDescent="0.2">
      <c r="B6">
        <v>30</v>
      </c>
      <c r="C6">
        <v>1.1043000000000001</v>
      </c>
    </row>
    <row r="7" spans="2:3" x14ac:dyDescent="0.2">
      <c r="B7">
        <v>40</v>
      </c>
      <c r="C7">
        <v>1.3263</v>
      </c>
    </row>
    <row r="8" spans="2:3" x14ac:dyDescent="0.2">
      <c r="B8">
        <v>50</v>
      </c>
      <c r="C8">
        <v>1.5224</v>
      </c>
    </row>
    <row r="9" spans="2:3" x14ac:dyDescent="0.2">
      <c r="B9">
        <v>60</v>
      </c>
      <c r="C9">
        <v>1.6637999999999999</v>
      </c>
    </row>
    <row r="10" spans="2:3" x14ac:dyDescent="0.2">
      <c r="B10">
        <v>70</v>
      </c>
      <c r="C10">
        <v>1.7959000000000001</v>
      </c>
    </row>
    <row r="11" spans="2:3" x14ac:dyDescent="0.2">
      <c r="B11">
        <v>80</v>
      </c>
      <c r="C11">
        <v>1.8996999999999999</v>
      </c>
    </row>
    <row r="12" spans="2:3" x14ac:dyDescent="0.2">
      <c r="B12">
        <v>90</v>
      </c>
      <c r="C12">
        <v>1.9927999999999999</v>
      </c>
    </row>
    <row r="13" spans="2:3" x14ac:dyDescent="0.2">
      <c r="B13">
        <v>100</v>
      </c>
      <c r="C13">
        <v>2.0655000000000001</v>
      </c>
    </row>
    <row r="14" spans="2:3" x14ac:dyDescent="0.2">
      <c r="B14">
        <v>110</v>
      </c>
      <c r="C14">
        <v>2.1444000000000001</v>
      </c>
    </row>
    <row r="15" spans="2:3" x14ac:dyDescent="0.2">
      <c r="B15">
        <v>120</v>
      </c>
      <c r="C15">
        <v>2.2038000000000002</v>
      </c>
    </row>
    <row r="16" spans="2:3" x14ac:dyDescent="0.2">
      <c r="B16">
        <v>130</v>
      </c>
      <c r="C16">
        <v>2.2563</v>
      </c>
    </row>
    <row r="17" spans="2:5" x14ac:dyDescent="0.2">
      <c r="B17">
        <v>140</v>
      </c>
      <c r="C17">
        <v>2.3071000000000002</v>
      </c>
    </row>
    <row r="18" spans="2:5" x14ac:dyDescent="0.2">
      <c r="B18">
        <v>150</v>
      </c>
      <c r="C18">
        <v>2.3546</v>
      </c>
    </row>
    <row r="19" spans="2:5" x14ac:dyDescent="0.2">
      <c r="B19">
        <v>160</v>
      </c>
      <c r="C19">
        <v>2.3933</v>
      </c>
    </row>
    <row r="20" spans="2:5" x14ac:dyDescent="0.2">
      <c r="B20">
        <v>170</v>
      </c>
      <c r="C20">
        <v>2.4276</v>
      </c>
    </row>
    <row r="21" spans="2:5" x14ac:dyDescent="0.2">
      <c r="B21">
        <v>180</v>
      </c>
      <c r="C21">
        <v>2.4626999999999999</v>
      </c>
    </row>
    <row r="22" spans="2:5" x14ac:dyDescent="0.2">
      <c r="B22">
        <v>190</v>
      </c>
      <c r="C22">
        <v>2.4944000000000002</v>
      </c>
    </row>
    <row r="23" spans="2:5" x14ac:dyDescent="0.2">
      <c r="B23">
        <v>200</v>
      </c>
      <c r="C23">
        <v>2.5204</v>
      </c>
    </row>
    <row r="25" spans="2:5" x14ac:dyDescent="0.2">
      <c r="E25" s="2" t="s">
        <v>13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5"/>
  <sheetViews>
    <sheetView zoomScale="116" zoomScaleNormal="116" workbookViewId="0">
      <selection activeCell="F29" sqref="F29"/>
    </sheetView>
  </sheetViews>
  <sheetFormatPr baseColWidth="10" defaultColWidth="9" defaultRowHeight="15" x14ac:dyDescent="0.2"/>
  <sheetData>
    <row r="2" spans="2:3" ht="17" x14ac:dyDescent="0.2">
      <c r="B2" s="1" t="s">
        <v>0</v>
      </c>
      <c r="C2" s="1" t="s">
        <v>1</v>
      </c>
    </row>
    <row r="3" spans="2:3" x14ac:dyDescent="0.2">
      <c r="B3">
        <v>0</v>
      </c>
      <c r="C3">
        <v>1.9E-3</v>
      </c>
    </row>
    <row r="4" spans="2:3" x14ac:dyDescent="0.2">
      <c r="B4">
        <v>10</v>
      </c>
      <c r="C4">
        <v>0.3982</v>
      </c>
    </row>
    <row r="5" spans="2:3" x14ac:dyDescent="0.2">
      <c r="B5">
        <v>20</v>
      </c>
      <c r="C5">
        <v>0.78859999999999997</v>
      </c>
    </row>
    <row r="6" spans="2:3" x14ac:dyDescent="0.2">
      <c r="B6">
        <v>30</v>
      </c>
      <c r="C6">
        <v>1.1043000000000001</v>
      </c>
    </row>
    <row r="7" spans="2:3" x14ac:dyDescent="0.2">
      <c r="B7">
        <v>40</v>
      </c>
      <c r="C7">
        <v>1.3263</v>
      </c>
    </row>
    <row r="8" spans="2:3" x14ac:dyDescent="0.2">
      <c r="B8">
        <v>50</v>
      </c>
      <c r="C8">
        <v>1.5224</v>
      </c>
    </row>
    <row r="9" spans="2:3" x14ac:dyDescent="0.2">
      <c r="B9">
        <v>60</v>
      </c>
      <c r="C9">
        <v>1.6637999999999999</v>
      </c>
    </row>
    <row r="10" spans="2:3" x14ac:dyDescent="0.2">
      <c r="B10">
        <v>70</v>
      </c>
      <c r="C10">
        <v>1.7959000000000001</v>
      </c>
    </row>
    <row r="11" spans="2:3" x14ac:dyDescent="0.2">
      <c r="B11">
        <v>80</v>
      </c>
      <c r="C11">
        <v>1.8996999999999999</v>
      </c>
    </row>
    <row r="12" spans="2:3" x14ac:dyDescent="0.2">
      <c r="B12">
        <v>90</v>
      </c>
      <c r="C12">
        <v>1.9927999999999999</v>
      </c>
    </row>
    <row r="13" spans="2:3" x14ac:dyDescent="0.2">
      <c r="B13">
        <v>100</v>
      </c>
      <c r="C13">
        <v>2.0655000000000001</v>
      </c>
    </row>
    <row r="14" spans="2:3" x14ac:dyDescent="0.2">
      <c r="B14">
        <v>110</v>
      </c>
      <c r="C14">
        <v>2.1444000000000001</v>
      </c>
    </row>
    <row r="15" spans="2:3" x14ac:dyDescent="0.2">
      <c r="B15">
        <v>120</v>
      </c>
      <c r="C15">
        <v>2.2038000000000002</v>
      </c>
    </row>
    <row r="16" spans="2:3" x14ac:dyDescent="0.2">
      <c r="B16">
        <v>130</v>
      </c>
      <c r="C16">
        <v>2.2563</v>
      </c>
    </row>
    <row r="17" spans="2:5" x14ac:dyDescent="0.2">
      <c r="B17">
        <v>140</v>
      </c>
      <c r="C17">
        <v>2.3071000000000002</v>
      </c>
    </row>
    <row r="18" spans="2:5" x14ac:dyDescent="0.2">
      <c r="B18">
        <v>150</v>
      </c>
      <c r="C18">
        <v>2.3546</v>
      </c>
    </row>
    <row r="19" spans="2:5" x14ac:dyDescent="0.2">
      <c r="B19">
        <v>160</v>
      </c>
      <c r="C19">
        <v>2.3933</v>
      </c>
    </row>
    <row r="20" spans="2:5" x14ac:dyDescent="0.2">
      <c r="B20">
        <v>170</v>
      </c>
      <c r="C20">
        <v>2.4276</v>
      </c>
    </row>
    <row r="21" spans="2:5" x14ac:dyDescent="0.2">
      <c r="B21">
        <v>180</v>
      </c>
      <c r="C21">
        <v>2.4626999999999999</v>
      </c>
    </row>
    <row r="22" spans="2:5" x14ac:dyDescent="0.2">
      <c r="B22">
        <v>190</v>
      </c>
      <c r="C22">
        <v>2.4944000000000002</v>
      </c>
    </row>
    <row r="23" spans="2:5" x14ac:dyDescent="0.2">
      <c r="B23">
        <v>200</v>
      </c>
      <c r="C23">
        <v>2.5204</v>
      </c>
    </row>
    <row r="25" spans="2:5" x14ac:dyDescent="0.2">
      <c r="E25" s="2" t="s">
        <v>13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26"/>
  <sheetViews>
    <sheetView tabSelected="1" zoomScale="115" zoomScaleNormal="115" workbookViewId="0">
      <selection activeCell="H32" sqref="H32"/>
    </sheetView>
  </sheetViews>
  <sheetFormatPr baseColWidth="10" defaultColWidth="9" defaultRowHeight="15" x14ac:dyDescent="0.2"/>
  <cols>
    <col min="1" max="1" width="9" style="7"/>
    <col min="2" max="2" width="10.83203125" style="7" customWidth="1"/>
    <col min="3" max="13" width="8.83203125" style="7" customWidth="1"/>
    <col min="14" max="16384" width="9" style="7"/>
  </cols>
  <sheetData>
    <row r="1" spans="2:13" ht="17" x14ac:dyDescent="0.2">
      <c r="C1" s="14" t="s">
        <v>1</v>
      </c>
    </row>
    <row r="2" spans="2:13" x14ac:dyDescent="0.2">
      <c r="B2" s="10" t="s">
        <v>15</v>
      </c>
      <c r="C2" s="12">
        <v>0</v>
      </c>
      <c r="D2" s="12">
        <v>10</v>
      </c>
      <c r="E2" s="12">
        <v>20</v>
      </c>
      <c r="F2" s="12">
        <v>30</v>
      </c>
      <c r="G2" s="12">
        <v>40</v>
      </c>
      <c r="H2" s="12">
        <v>50</v>
      </c>
      <c r="I2" s="12">
        <v>60</v>
      </c>
      <c r="J2" s="12">
        <v>70</v>
      </c>
      <c r="K2" s="12">
        <v>80</v>
      </c>
      <c r="L2" s="12">
        <v>90</v>
      </c>
      <c r="M2" s="12">
        <v>100</v>
      </c>
    </row>
    <row r="3" spans="2:13" x14ac:dyDescent="0.2">
      <c r="B3" s="11" t="s">
        <v>14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2:13" x14ac:dyDescent="0.2">
      <c r="B4" s="9">
        <v>0</v>
      </c>
      <c r="C4" s="8">
        <v>1.9E-3</v>
      </c>
      <c r="D4" s="8"/>
      <c r="E4" s="8"/>
      <c r="F4" s="8"/>
      <c r="G4" s="8"/>
      <c r="H4" s="8"/>
      <c r="I4" s="8"/>
      <c r="J4" s="8"/>
      <c r="K4" s="8"/>
      <c r="L4" s="8"/>
      <c r="M4" s="8"/>
    </row>
    <row r="5" spans="2:13" x14ac:dyDescent="0.2">
      <c r="B5" s="8">
        <v>10</v>
      </c>
      <c r="C5" s="8">
        <v>0.3982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2:13" x14ac:dyDescent="0.2">
      <c r="B6" s="8">
        <v>20</v>
      </c>
      <c r="C6" s="8">
        <v>0.78859999999999997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spans="2:13" x14ac:dyDescent="0.2">
      <c r="B7" s="8">
        <v>30</v>
      </c>
      <c r="C7" s="8">
        <v>1.1043000000000001</v>
      </c>
      <c r="D7" s="8"/>
      <c r="E7" s="8"/>
      <c r="F7" s="8"/>
      <c r="G7" s="8"/>
      <c r="H7" s="8"/>
      <c r="I7" s="8"/>
      <c r="J7" s="8"/>
      <c r="K7" s="8"/>
      <c r="L7" s="8"/>
      <c r="M7" s="8"/>
    </row>
    <row r="8" spans="2:13" x14ac:dyDescent="0.2">
      <c r="B8" s="8">
        <v>40</v>
      </c>
      <c r="C8" s="8">
        <v>1.3263</v>
      </c>
      <c r="D8" s="8"/>
      <c r="E8" s="8"/>
      <c r="F8" s="8"/>
      <c r="G8" s="8"/>
      <c r="H8" s="8"/>
      <c r="I8" s="8"/>
      <c r="J8" s="8"/>
      <c r="K8" s="8"/>
      <c r="L8" s="8"/>
      <c r="M8" s="8"/>
    </row>
    <row r="9" spans="2:13" x14ac:dyDescent="0.2">
      <c r="B9" s="8">
        <v>50</v>
      </c>
      <c r="C9" s="8">
        <v>1.5224</v>
      </c>
      <c r="D9" s="8"/>
      <c r="E9" s="8"/>
      <c r="F9" s="8"/>
      <c r="G9" s="8"/>
      <c r="H9" s="8"/>
      <c r="I9" s="8"/>
      <c r="J9" s="8"/>
      <c r="K9" s="8"/>
      <c r="L9" s="8"/>
      <c r="M9" s="8"/>
    </row>
    <row r="10" spans="2:13" x14ac:dyDescent="0.2">
      <c r="B10" s="8">
        <v>60</v>
      </c>
      <c r="C10" s="8">
        <v>1.6637999999999999</v>
      </c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2:13" x14ac:dyDescent="0.2">
      <c r="B11" s="8">
        <v>70</v>
      </c>
      <c r="C11" s="8">
        <v>1.7959000000000001</v>
      </c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2:13" x14ac:dyDescent="0.2">
      <c r="B12" s="8">
        <v>80</v>
      </c>
      <c r="C12" s="8">
        <v>1.8996999999999999</v>
      </c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2:13" x14ac:dyDescent="0.2">
      <c r="B13" s="8">
        <v>90</v>
      </c>
      <c r="C13" s="8">
        <v>1.9927999999999999</v>
      </c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2:13" x14ac:dyDescent="0.2">
      <c r="B14" s="8">
        <v>100</v>
      </c>
      <c r="C14" s="8">
        <v>2.0655000000000001</v>
      </c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2:13" x14ac:dyDescent="0.2">
      <c r="B15" s="8">
        <v>110</v>
      </c>
      <c r="C15" s="8">
        <v>2.1444000000000001</v>
      </c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2:13" x14ac:dyDescent="0.2">
      <c r="B16" s="8">
        <v>120</v>
      </c>
      <c r="C16" s="8">
        <v>2.2038000000000002</v>
      </c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2:15" x14ac:dyDescent="0.2">
      <c r="B17" s="8">
        <v>130</v>
      </c>
      <c r="C17" s="8">
        <v>2.2563</v>
      </c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2:15" x14ac:dyDescent="0.2">
      <c r="B18" s="8">
        <v>140</v>
      </c>
      <c r="C18" s="8">
        <v>2.3071000000000002</v>
      </c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2:15" x14ac:dyDescent="0.2">
      <c r="B19" s="8">
        <v>150</v>
      </c>
      <c r="C19" s="8">
        <v>2.3546</v>
      </c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2:15" x14ac:dyDescent="0.2">
      <c r="B20" s="8">
        <v>160</v>
      </c>
      <c r="C20" s="8">
        <v>2.3933</v>
      </c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2:15" x14ac:dyDescent="0.2">
      <c r="B21" s="8">
        <v>170</v>
      </c>
      <c r="C21" s="8">
        <v>2.4276</v>
      </c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2:15" x14ac:dyDescent="0.2">
      <c r="B22" s="8">
        <v>180</v>
      </c>
      <c r="C22" s="8">
        <v>2.4626999999999999</v>
      </c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2:15" x14ac:dyDescent="0.2">
      <c r="B23" s="8">
        <v>190</v>
      </c>
      <c r="C23" s="8">
        <v>2.4944000000000002</v>
      </c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2:15" x14ac:dyDescent="0.2">
      <c r="B24" s="8">
        <v>200</v>
      </c>
      <c r="C24" s="8">
        <v>2.5204</v>
      </c>
      <c r="D24" s="8"/>
      <c r="E24" s="8"/>
      <c r="F24" s="8"/>
      <c r="G24" s="8"/>
      <c r="H24" s="8"/>
      <c r="I24" s="8"/>
      <c r="J24" s="8"/>
      <c r="K24" s="8"/>
      <c r="L24" s="8"/>
      <c r="M24" s="8"/>
    </row>
    <row r="26" spans="2:15" x14ac:dyDescent="0.2">
      <c r="O26" s="15" t="s">
        <v>13</v>
      </c>
    </row>
  </sheetData>
  <mergeCells count="11">
    <mergeCell ref="I2:I3"/>
    <mergeCell ref="J2:J3"/>
    <mergeCell ref="K2:K3"/>
    <mergeCell ref="L2:L3"/>
    <mergeCell ref="M2:M3"/>
    <mergeCell ref="C2:C3"/>
    <mergeCell ref="D2:D3"/>
    <mergeCell ref="E2:E3"/>
    <mergeCell ref="F2:F3"/>
    <mergeCell ref="G2:G3"/>
    <mergeCell ref="H2:H3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5FC4-9DE0-A747-B92F-8FB4B911C08A}">
  <dimension ref="B1:O26"/>
  <sheetViews>
    <sheetView zoomScale="115" zoomScaleNormal="115" workbookViewId="0"/>
  </sheetViews>
  <sheetFormatPr baseColWidth="10" defaultColWidth="9" defaultRowHeight="15" x14ac:dyDescent="0.2"/>
  <cols>
    <col min="1" max="1" width="9" style="7"/>
    <col min="2" max="2" width="10.83203125" style="7" customWidth="1"/>
    <col min="3" max="13" width="8.83203125" style="7" customWidth="1"/>
    <col min="14" max="16384" width="9" style="7"/>
  </cols>
  <sheetData>
    <row r="1" spans="2:13" ht="17" x14ac:dyDescent="0.2">
      <c r="C1" s="14" t="s">
        <v>1</v>
      </c>
    </row>
    <row r="2" spans="2:13" x14ac:dyDescent="0.2">
      <c r="B2" s="10" t="s">
        <v>15</v>
      </c>
      <c r="C2" s="12">
        <v>0</v>
      </c>
      <c r="D2" s="12">
        <v>10</v>
      </c>
      <c r="E2" s="12">
        <v>20</v>
      </c>
      <c r="F2" s="12">
        <v>30</v>
      </c>
      <c r="G2" s="12">
        <v>40</v>
      </c>
      <c r="H2" s="12">
        <v>50</v>
      </c>
      <c r="I2" s="12">
        <v>60</v>
      </c>
      <c r="J2" s="12">
        <v>70</v>
      </c>
      <c r="K2" s="12">
        <v>80</v>
      </c>
      <c r="L2" s="12">
        <v>90</v>
      </c>
      <c r="M2" s="12">
        <v>100</v>
      </c>
    </row>
    <row r="3" spans="2:13" x14ac:dyDescent="0.2">
      <c r="B3" s="11" t="s">
        <v>14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2:13" x14ac:dyDescent="0.2">
      <c r="B4" s="9">
        <v>0</v>
      </c>
      <c r="C4" s="8">
        <v>1.9E-3</v>
      </c>
      <c r="D4" s="8"/>
      <c r="E4" s="8"/>
      <c r="F4" s="8"/>
      <c r="G4" s="8"/>
      <c r="H4" s="8"/>
      <c r="I4" s="8"/>
      <c r="J4" s="8"/>
      <c r="K4" s="8"/>
      <c r="L4" s="8"/>
      <c r="M4" s="8"/>
    </row>
    <row r="5" spans="2:13" x14ac:dyDescent="0.2">
      <c r="B5" s="8">
        <v>10</v>
      </c>
      <c r="C5" s="8">
        <v>0.3982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2:13" x14ac:dyDescent="0.2">
      <c r="B6" s="8">
        <v>20</v>
      </c>
      <c r="C6" s="8">
        <v>0.78859999999999997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spans="2:13" x14ac:dyDescent="0.2">
      <c r="B7" s="8">
        <v>30</v>
      </c>
      <c r="C7" s="8">
        <v>1.1043000000000001</v>
      </c>
      <c r="D7" s="8"/>
      <c r="E7" s="8"/>
      <c r="F7" s="8"/>
      <c r="G7" s="8"/>
      <c r="H7" s="8"/>
      <c r="I7" s="8"/>
      <c r="J7" s="8"/>
      <c r="K7" s="8"/>
      <c r="L7" s="8"/>
      <c r="M7" s="8"/>
    </row>
    <row r="8" spans="2:13" x14ac:dyDescent="0.2">
      <c r="B8" s="8">
        <v>40</v>
      </c>
      <c r="C8" s="8">
        <v>1.3263</v>
      </c>
      <c r="D8" s="8"/>
      <c r="E8" s="8"/>
      <c r="F8" s="8"/>
      <c r="G8" s="8"/>
      <c r="H8" s="8"/>
      <c r="I8" s="8"/>
      <c r="J8" s="8"/>
      <c r="K8" s="8"/>
      <c r="L8" s="8"/>
      <c r="M8" s="8"/>
    </row>
    <row r="9" spans="2:13" x14ac:dyDescent="0.2">
      <c r="B9" s="8">
        <v>50</v>
      </c>
      <c r="C9" s="8">
        <v>1.5224</v>
      </c>
      <c r="D9" s="8"/>
      <c r="E9" s="8"/>
      <c r="F9" s="8"/>
      <c r="G9" s="8"/>
      <c r="H9" s="8"/>
      <c r="I9" s="8"/>
      <c r="J9" s="8"/>
      <c r="K9" s="8"/>
      <c r="L9" s="8"/>
      <c r="M9" s="8"/>
    </row>
    <row r="10" spans="2:13" x14ac:dyDescent="0.2">
      <c r="B10" s="8">
        <v>60</v>
      </c>
      <c r="C10" s="8">
        <v>1.6637999999999999</v>
      </c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2:13" x14ac:dyDescent="0.2">
      <c r="B11" s="8">
        <v>70</v>
      </c>
      <c r="C11" s="8">
        <v>1.7959000000000001</v>
      </c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2:13" x14ac:dyDescent="0.2">
      <c r="B12" s="8">
        <v>80</v>
      </c>
      <c r="C12" s="8">
        <v>1.8996999999999999</v>
      </c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2:13" x14ac:dyDescent="0.2">
      <c r="B13" s="8">
        <v>90</v>
      </c>
      <c r="C13" s="8">
        <v>1.9927999999999999</v>
      </c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2:13" x14ac:dyDescent="0.2">
      <c r="B14" s="8">
        <v>100</v>
      </c>
      <c r="C14" s="8">
        <v>2.0655000000000001</v>
      </c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2:13" x14ac:dyDescent="0.2">
      <c r="B15" s="8">
        <v>110</v>
      </c>
      <c r="C15" s="8">
        <v>2.1444000000000001</v>
      </c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2:13" x14ac:dyDescent="0.2">
      <c r="B16" s="8">
        <v>120</v>
      </c>
      <c r="C16" s="8">
        <v>2.2038000000000002</v>
      </c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2:15" x14ac:dyDescent="0.2">
      <c r="B17" s="8">
        <v>130</v>
      </c>
      <c r="C17" s="8">
        <v>2.2563</v>
      </c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2:15" x14ac:dyDescent="0.2">
      <c r="B18" s="8">
        <v>140</v>
      </c>
      <c r="C18" s="8">
        <v>2.3071000000000002</v>
      </c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2:15" x14ac:dyDescent="0.2">
      <c r="B19" s="8">
        <v>150</v>
      </c>
      <c r="C19" s="8">
        <v>2.3546</v>
      </c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2:15" x14ac:dyDescent="0.2">
      <c r="B20" s="8">
        <v>160</v>
      </c>
      <c r="C20" s="8">
        <v>2.3933</v>
      </c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2:15" x14ac:dyDescent="0.2">
      <c r="B21" s="8">
        <v>170</v>
      </c>
      <c r="C21" s="8">
        <v>2.4276</v>
      </c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2:15" x14ac:dyDescent="0.2">
      <c r="B22" s="8">
        <v>180</v>
      </c>
      <c r="C22" s="8">
        <v>2.4626999999999999</v>
      </c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2:15" x14ac:dyDescent="0.2">
      <c r="B23" s="8">
        <v>190</v>
      </c>
      <c r="C23" s="8">
        <v>2.4944000000000002</v>
      </c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2:15" x14ac:dyDescent="0.2">
      <c r="B24" s="8">
        <v>200</v>
      </c>
      <c r="C24" s="8">
        <v>2.5204</v>
      </c>
      <c r="D24" s="8"/>
      <c r="E24" s="8"/>
      <c r="F24" s="8"/>
      <c r="G24" s="8"/>
      <c r="H24" s="8"/>
      <c r="I24" s="8"/>
      <c r="J24" s="8"/>
      <c r="K24" s="8"/>
      <c r="L24" s="8"/>
      <c r="M24" s="8"/>
    </row>
    <row r="26" spans="2:15" x14ac:dyDescent="0.2">
      <c r="O26" s="15" t="s">
        <v>13</v>
      </c>
    </row>
  </sheetData>
  <mergeCells count="11">
    <mergeCell ref="I2:I3"/>
    <mergeCell ref="J2:J3"/>
    <mergeCell ref="K2:K3"/>
    <mergeCell ref="L2:L3"/>
    <mergeCell ref="M2:M3"/>
    <mergeCell ref="C2:C3"/>
    <mergeCell ref="D2:D3"/>
    <mergeCell ref="E2:E3"/>
    <mergeCell ref="F2:F3"/>
    <mergeCell ref="G2:G3"/>
    <mergeCell ref="H2:H3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5355-FD6C-6E49-89BA-D61B28825BDE}">
  <dimension ref="B1:O37"/>
  <sheetViews>
    <sheetView zoomScale="115" zoomScaleNormal="115" workbookViewId="0">
      <selection activeCell="U35" sqref="U35"/>
    </sheetView>
  </sheetViews>
  <sheetFormatPr baseColWidth="10" defaultColWidth="9" defaultRowHeight="15" x14ac:dyDescent="0.2"/>
  <cols>
    <col min="1" max="1" width="9" style="7"/>
    <col min="2" max="2" width="10.83203125" style="7" customWidth="1"/>
    <col min="3" max="13" width="8.83203125" style="7" customWidth="1"/>
    <col min="14" max="16384" width="9" style="7"/>
  </cols>
  <sheetData>
    <row r="1" spans="2:13" ht="17" x14ac:dyDescent="0.2">
      <c r="C1" s="14" t="s">
        <v>1</v>
      </c>
    </row>
    <row r="2" spans="2:13" x14ac:dyDescent="0.2">
      <c r="B2" s="10" t="s">
        <v>15</v>
      </c>
      <c r="C2" s="12">
        <v>0</v>
      </c>
      <c r="D2" s="12">
        <v>10</v>
      </c>
      <c r="E2" s="12">
        <v>20</v>
      </c>
      <c r="F2" s="12">
        <v>30</v>
      </c>
      <c r="G2" s="12">
        <v>40</v>
      </c>
      <c r="H2" s="12">
        <v>50</v>
      </c>
      <c r="I2" s="12">
        <v>60</v>
      </c>
      <c r="J2" s="12">
        <v>70</v>
      </c>
      <c r="K2" s="12">
        <v>80</v>
      </c>
      <c r="L2" s="12">
        <v>90</v>
      </c>
      <c r="M2" s="12">
        <v>100</v>
      </c>
    </row>
    <row r="3" spans="2:13" x14ac:dyDescent="0.2">
      <c r="B3" s="11" t="s">
        <v>14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2:13" x14ac:dyDescent="0.2">
      <c r="B4" s="9">
        <v>0</v>
      </c>
      <c r="C4" s="8">
        <v>1.9E-3</v>
      </c>
      <c r="D4" s="8"/>
      <c r="E4" s="8"/>
      <c r="F4" s="8"/>
      <c r="G4" s="8"/>
      <c r="H4" s="8"/>
      <c r="I4" s="8"/>
      <c r="J4" s="8"/>
      <c r="K4" s="8"/>
      <c r="L4" s="8"/>
      <c r="M4" s="8"/>
    </row>
    <row r="5" spans="2:13" x14ac:dyDescent="0.2">
      <c r="B5" s="8">
        <v>10</v>
      </c>
      <c r="C5" s="8">
        <v>0.3982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2:13" x14ac:dyDescent="0.2">
      <c r="B6" s="8">
        <v>20</v>
      </c>
      <c r="C6" s="8">
        <v>0.78859999999999997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spans="2:13" x14ac:dyDescent="0.2">
      <c r="B7" s="8">
        <v>30</v>
      </c>
      <c r="C7" s="8">
        <v>1.1043000000000001</v>
      </c>
      <c r="D7" s="8"/>
      <c r="E7" s="8"/>
      <c r="F7" s="8"/>
      <c r="G7" s="8"/>
      <c r="H7" s="8"/>
      <c r="I7" s="8"/>
      <c r="J7" s="8"/>
      <c r="K7" s="8"/>
      <c r="L7" s="8"/>
      <c r="M7" s="8"/>
    </row>
    <row r="8" spans="2:13" x14ac:dyDescent="0.2">
      <c r="B8" s="8">
        <v>40</v>
      </c>
      <c r="C8" s="8">
        <v>1.3263</v>
      </c>
      <c r="D8" s="8"/>
      <c r="E8" s="8"/>
      <c r="F8" s="8"/>
      <c r="G8" s="8"/>
      <c r="H8" s="8"/>
      <c r="I8" s="8"/>
      <c r="J8" s="8"/>
      <c r="K8" s="8"/>
      <c r="L8" s="8"/>
      <c r="M8" s="8"/>
    </row>
    <row r="9" spans="2:13" x14ac:dyDescent="0.2">
      <c r="B9" s="8">
        <v>50</v>
      </c>
      <c r="C9" s="8">
        <v>1.5224</v>
      </c>
      <c r="D9" s="8"/>
      <c r="E9" s="8"/>
      <c r="F9" s="8"/>
      <c r="G9" s="8"/>
      <c r="H9" s="8"/>
      <c r="I9" s="8"/>
      <c r="J9" s="8"/>
      <c r="K9" s="8"/>
      <c r="L9" s="8"/>
      <c r="M9" s="8"/>
    </row>
    <row r="10" spans="2:13" x14ac:dyDescent="0.2">
      <c r="B10" s="8">
        <v>60</v>
      </c>
      <c r="C10" s="8">
        <v>1.6637999999999999</v>
      </c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2:13" x14ac:dyDescent="0.2">
      <c r="B11" s="8">
        <v>70</v>
      </c>
      <c r="C11" s="8">
        <v>1.7959000000000001</v>
      </c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2:13" x14ac:dyDescent="0.2">
      <c r="B12" s="8">
        <v>80</v>
      </c>
      <c r="C12" s="8">
        <v>1.8996999999999999</v>
      </c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2:13" x14ac:dyDescent="0.2">
      <c r="B13" s="8">
        <v>90</v>
      </c>
      <c r="C13" s="8">
        <v>1.9927999999999999</v>
      </c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2:13" x14ac:dyDescent="0.2">
      <c r="B14" s="8">
        <v>100</v>
      </c>
      <c r="C14" s="8">
        <v>2.0655000000000001</v>
      </c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2:13" x14ac:dyDescent="0.2">
      <c r="B15" s="8">
        <v>110</v>
      </c>
      <c r="C15" s="8">
        <v>2.1444000000000001</v>
      </c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2:13" x14ac:dyDescent="0.2">
      <c r="B16" s="8">
        <v>120</v>
      </c>
      <c r="C16" s="8">
        <v>2.2038000000000002</v>
      </c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2:15" x14ac:dyDescent="0.2">
      <c r="B17" s="8">
        <v>130</v>
      </c>
      <c r="C17" s="8">
        <v>2.2563</v>
      </c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2:15" x14ac:dyDescent="0.2">
      <c r="B18" s="8">
        <v>140</v>
      </c>
      <c r="C18" s="8">
        <v>2.3071000000000002</v>
      </c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2:15" x14ac:dyDescent="0.2">
      <c r="B19" s="8">
        <v>150</v>
      </c>
      <c r="C19" s="8">
        <v>2.3546</v>
      </c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2:15" x14ac:dyDescent="0.2">
      <c r="B20" s="8">
        <v>160</v>
      </c>
      <c r="C20" s="8">
        <v>2.3933</v>
      </c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2:15" x14ac:dyDescent="0.2">
      <c r="B21" s="8">
        <v>170</v>
      </c>
      <c r="C21" s="8">
        <v>2.4276</v>
      </c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2:15" x14ac:dyDescent="0.2">
      <c r="B22" s="8">
        <v>180</v>
      </c>
      <c r="C22" s="8">
        <v>2.4626999999999999</v>
      </c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2:15" x14ac:dyDescent="0.2">
      <c r="B23" s="8">
        <v>190</v>
      </c>
      <c r="C23" s="8">
        <v>2.4944000000000002</v>
      </c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2:15" x14ac:dyDescent="0.2">
      <c r="B24" s="8">
        <v>200</v>
      </c>
      <c r="C24" s="8">
        <v>2.5204</v>
      </c>
      <c r="D24" s="8"/>
      <c r="E24" s="8"/>
      <c r="F24" s="8"/>
      <c r="G24" s="8"/>
      <c r="H24" s="8"/>
      <c r="I24" s="8"/>
      <c r="J24" s="8"/>
      <c r="K24" s="8"/>
      <c r="L24" s="8"/>
      <c r="M24" s="8"/>
    </row>
    <row r="26" spans="2:15" x14ac:dyDescent="0.2">
      <c r="O26" s="15" t="s">
        <v>13</v>
      </c>
    </row>
    <row r="37" spans="15:15" x14ac:dyDescent="0.2">
      <c r="O37" s="16"/>
    </row>
  </sheetData>
  <mergeCells count="11">
    <mergeCell ref="I2:I3"/>
    <mergeCell ref="J2:J3"/>
    <mergeCell ref="K2:K3"/>
    <mergeCell ref="L2:L3"/>
    <mergeCell ref="M2:M3"/>
    <mergeCell ref="C2:C3"/>
    <mergeCell ref="D2:D3"/>
    <mergeCell ref="E2:E3"/>
    <mergeCell ref="F2:F3"/>
    <mergeCell ref="G2:G3"/>
    <mergeCell ref="H2:H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REM-7.0 CUT 1</vt:lpstr>
      <vt:lpstr>REM-7.0 CUT 2</vt:lpstr>
      <vt:lpstr>REM-7.0 CUT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margabudi</dc:creator>
  <cp:lastModifiedBy>Myoffice46089</cp:lastModifiedBy>
  <dcterms:created xsi:type="dcterms:W3CDTF">2026-04-10T04:20:00Z</dcterms:created>
  <dcterms:modified xsi:type="dcterms:W3CDTF">2026-07-16T09:30:13Z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87C3B63615FA56E62653D769F944C96E_41</vt:lpwstr>
  </property>
  <property fmtid="{D5CDD505-2E9C-101B-9397-08002B2CF9AE}" pid="3" name="KSOProductBuildVer">
    <vt:lpwstr>1033-6.13.1.8709</vt:lpwstr>
  </property>
</Properties>
</file>