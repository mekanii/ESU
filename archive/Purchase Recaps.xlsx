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560"/>
  </bookViews>
  <sheets>
    <sheet name="Rekap belanja" sheetId="2" r:id="rId1"/>
    <sheet name="Rencana" sheetId="3" r:id="rId2"/>
    <sheet name="BSC" sheetId="4" r:id="rId3"/>
    <sheet name="ESU" sheetId="5" r:id="rId4"/>
    <sheet name="Sheet1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<sst xmlns="http://schemas.openxmlformats.org/spreadsheetml/2006/main" count="215" uniqueCount="174">
  <si>
    <t>#</t>
  </si>
  <si>
    <t># PR</t>
  </si>
  <si>
    <t>Tanggal</t>
  </si>
  <si>
    <t>Item</t>
  </si>
  <si>
    <t>Deskripsi</t>
  </si>
  <si>
    <t>Harga</t>
  </si>
  <si>
    <t>2026 02 09</t>
  </si>
  <si>
    <t>komponen PCB controller ESU</t>
  </si>
  <si>
    <t>BoM untuk PCB kontroler ESU</t>
  </si>
  <si>
    <t>2026 02 10</t>
  </si>
  <si>
    <t>DP PCBA PMU 1000pcs</t>
  </si>
  <si>
    <t>2026 03 26</t>
  </si>
  <si>
    <t>FP PCBA PMU 1000pcs</t>
  </si>
  <si>
    <t>2026 04 24</t>
  </si>
  <si>
    <t>komponen sensor neutral pad ESU</t>
  </si>
  <si>
    <t>BoM pengondisi sinyal REM</t>
  </si>
  <si>
    <t>2026 05 06</t>
  </si>
  <si>
    <t>power meter D52-2066</t>
  </si>
  <si>
    <t>alat ukur daya</t>
  </si>
  <si>
    <t>oscilloscope probe P4100</t>
  </si>
  <si>
    <t>oscilloscope probe 100x</t>
  </si>
  <si>
    <t>2026 06 09</t>
  </si>
  <si>
    <t>DP PCBA PMU 100pcs</t>
  </si>
  <si>
    <t>2026 07 07</t>
  </si>
  <si>
    <t>FP PCBA PMU 100pcs</t>
  </si>
  <si>
    <t>2026 07 20</t>
  </si>
  <si>
    <t>resistor flange 50Ω 100W 10pcs</t>
  </si>
  <si>
    <t>beban semu pengukuran ESU</t>
  </si>
  <si>
    <t>ESU: Box accessories</t>
  </si>
  <si>
    <t>WS16 4 pin</t>
  </si>
  <si>
    <t>https://www.tokopedia.com/nnaudio/ws16-konektor-4-pin-plug-n-socket-ip67-ip68-ws16-4-pin</t>
  </si>
  <si>
    <t>ESU: Controller board v. STM32</t>
  </si>
  <si>
    <t>ST-Link</t>
  </si>
  <si>
    <t>https://www.tokopedia.com/hwthinker/st-link-stlink-st-link-v2-mini-stm8-stm32-downloader-programmer-1</t>
  </si>
  <si>
    <t>WeAct STM32H743VIT6</t>
  </si>
  <si>
    <t>https://www.tokopedia.com/syalis-electrical/weact-studio-stm32h743vit6-h743-lcd-stm32-0-96-inch-lcd-tft-st7735-arm-cortex-m7-480mhz-1mb-ram-2mb-rom-usb-type-c-port-syalis-1732236224215483772</t>
  </si>
  <si>
    <t>STM32H7 board</t>
  </si>
  <si>
    <t>alternative</t>
  </si>
  <si>
    <t>https://www.tokopedia.com/hwthinker/weact-stm32h7-stm32h743-stm32-stm32h743vit6-openmv-development-board</t>
  </si>
  <si>
    <t>BSC: Airflow sensor board</t>
  </si>
  <si>
    <t>Komponen</t>
  </si>
  <si>
    <t>LCR</t>
  </si>
  <si>
    <t>sanwa LCR700</t>
  </si>
  <si>
    <t>Lutron LCR-9184</t>
  </si>
  <si>
    <t>https://www.tokopedia.com/duniaalatukur/lutron-lcr-9184-lcr-meter-dual-lcd-display</t>
  </si>
  <si>
    <t>Lutron LCR-9183</t>
  </si>
  <si>
    <t>https://www.tokopedia.com/setiajayajkt/lutron-lcr-9183-lcr-meter</t>
  </si>
  <si>
    <t>Lutron ET-430</t>
  </si>
  <si>
    <t>https://www.tokopedia.com/solusibutawarna/lcr-meter-digital-et-430-handheld-bridge-tester-capitance-inductance-resistance-1731291026805524148</t>
  </si>
  <si>
    <t>FNIRSI LC1020E</t>
  </si>
  <si>
    <t>https://www.tokopedia.com/figi-shop/digital-lcr-esr-tester-transistor-inductance-high-precision-fnirsi-lc1020e-1733828069655152009</t>
  </si>
  <si>
    <t>Designator</t>
  </si>
  <si>
    <t>Footprint</t>
  </si>
  <si>
    <t>Quantity</t>
  </si>
  <si>
    <t>Value</t>
  </si>
  <si>
    <t>LCSC Part #</t>
  </si>
  <si>
    <t>MoQ</t>
  </si>
  <si>
    <t>Price</t>
  </si>
  <si>
    <t>C1, C5</t>
  </si>
  <si>
    <t>CP_Elec_6.3x5.4</t>
  </si>
  <si>
    <t>100u</t>
  </si>
  <si>
    <t>C10, C13, C15, C18, C9</t>
  </si>
  <si>
    <t>0805</t>
  </si>
  <si>
    <t>1n</t>
  </si>
  <si>
    <t>C11, C12, C14, C2, C21, C22, C23, C24, C29, C30, C4, C6, C7</t>
  </si>
  <si>
    <t>100n</t>
  </si>
  <si>
    <t>C16, C17</t>
  </si>
  <si>
    <t>10n</t>
  </si>
  <si>
    <t>C19</t>
  </si>
  <si>
    <t>4.7n</t>
  </si>
  <si>
    <t>C20</t>
  </si>
  <si>
    <t>10p</t>
  </si>
  <si>
    <t>C25, C26</t>
  </si>
  <si>
    <t>20p</t>
  </si>
  <si>
    <t>C3</t>
  </si>
  <si>
    <t>CP_EIA-3528-15_AVX-H</t>
  </si>
  <si>
    <t>10u</t>
  </si>
  <si>
    <t>C8</t>
  </si>
  <si>
    <t>D1, D2, D3</t>
  </si>
  <si>
    <t>D_SMA</t>
  </si>
  <si>
    <t>M7</t>
  </si>
  <si>
    <t>D4, D5, D8, D9</t>
  </si>
  <si>
    <t>D_SOD-123</t>
  </si>
  <si>
    <t>1N4148W</t>
  </si>
  <si>
    <t>D6</t>
  </si>
  <si>
    <t>D_SOD-323</t>
  </si>
  <si>
    <t>5V1</t>
  </si>
  <si>
    <t>D7</t>
  </si>
  <si>
    <t>TO-92-2_W4.0mm_Horizontal_FlatSideDown</t>
  </si>
  <si>
    <t>MVAM109</t>
  </si>
  <si>
    <t>L1, L2, L3</t>
  </si>
  <si>
    <t>L_Chilisin_BWVS00808040</t>
  </si>
  <si>
    <t>L4</t>
  </si>
  <si>
    <t>4.7u</t>
  </si>
  <si>
    <t>Q1, Q2, Q3, Q4</t>
  </si>
  <si>
    <t>SOT-89-3</t>
  </si>
  <si>
    <t>BCX56</t>
  </si>
  <si>
    <t>R1, R10, R2</t>
  </si>
  <si>
    <t>R11</t>
  </si>
  <si>
    <t>39k</t>
  </si>
  <si>
    <t>R12</t>
  </si>
  <si>
    <t>13k</t>
  </si>
  <si>
    <t>R13</t>
  </si>
  <si>
    <t>R14</t>
  </si>
  <si>
    <t>R15, R16</t>
  </si>
  <si>
    <t>10k</t>
  </si>
  <si>
    <t>R3, R4</t>
  </si>
  <si>
    <t>15k</t>
  </si>
  <si>
    <t>R5, R6</t>
  </si>
  <si>
    <t>1.2k</t>
  </si>
  <si>
    <t>R7</t>
  </si>
  <si>
    <t>R8</t>
  </si>
  <si>
    <t>22k</t>
  </si>
  <si>
    <t>R9</t>
  </si>
  <si>
    <t>33k</t>
  </si>
  <si>
    <t>SW1, SW2</t>
  </si>
  <si>
    <t>SW_SPST_PTS810</t>
  </si>
  <si>
    <t>3x4x2.5</t>
  </si>
  <si>
    <t>U1</t>
  </si>
  <si>
    <t>TO-252-2</t>
  </si>
  <si>
    <t>LM317_TO-252</t>
  </si>
  <si>
    <t>U2</t>
  </si>
  <si>
    <t>Converter_DCDC_Murata_MEE3SxxxxSC_THT</t>
  </si>
  <si>
    <t>MEE1S0505SC</t>
  </si>
  <si>
    <t>U3</t>
  </si>
  <si>
    <t>SOT-223-3_TabPin2</t>
  </si>
  <si>
    <t>AMS1117-3.3</t>
  </si>
  <si>
    <t>U4</t>
  </si>
  <si>
    <t>LQFP-48_7x7mm_P0.5mm</t>
  </si>
  <si>
    <t>STM32F103CBTx</t>
  </si>
  <si>
    <t>U5</t>
  </si>
  <si>
    <t>SOIC-16W_7.5x10.3mm_P1.27mm</t>
  </si>
  <si>
    <t>ISO7721D</t>
  </si>
  <si>
    <t>Y1</t>
  </si>
  <si>
    <t>Crystal_SMD_5032-2Pin_5.0x3.2mm</t>
  </si>
  <si>
    <t>8MHz</t>
  </si>
  <si>
    <t>J1</t>
  </si>
  <si>
    <t>KF7.62-3P</t>
  </si>
  <si>
    <t>Screw_Terminal_01x03</t>
  </si>
  <si>
    <t>KF7.62-4P</t>
  </si>
  <si>
    <t>Jumlah</t>
  </si>
  <si>
    <t>Total Harga</t>
  </si>
  <si>
    <t>Resistor 5.1kΩ 0805  ±1% 125mW - 10 Buah</t>
  </si>
  <si>
    <t>Lisu Instruments</t>
  </si>
  <si>
    <t>Transistor BCX56 NPN 80V 1A 500mW hfe=100~250 SOT-89-3</t>
  </si>
  <si>
    <t>Capacitor 22pF ±5% 250V NP0 0805 2012(mm) - 10 Buah</t>
  </si>
  <si>
    <t>IC Unidirectional ESD Protection for USB 2.0 USBLC6-2 5A 17V 6V UL26 SOT-23-6</t>
  </si>
  <si>
    <t>Resistor 22Ω 0805 ±1% 125mW - 10 Buah</t>
  </si>
  <si>
    <t>Rectifier Schottky SS36 60V 3A SMA</t>
  </si>
  <si>
    <t>Capacitor 1uF ±10% 25V X7R 0805 - 5 Buah</t>
  </si>
  <si>
    <t>Diode Schottky SS32 20V 3A SMA/DO-214AC</t>
  </si>
  <si>
    <t>SMD LED Ultra Bright 1206 - Merah</t>
  </si>
  <si>
    <t>Resistor 220Ω 1206  ±1%  250mW - 10 Buah</t>
  </si>
  <si>
    <t>IC Optoisolator PC817C</t>
  </si>
  <si>
    <t>Resistor 10kΩ 0805 ±1% 125mW - 10 Buah</t>
  </si>
  <si>
    <t>Capacitor 100nF ±10% 100V X7R 0805 - 10 Buah</t>
  </si>
  <si>
    <t>Solid Capasitor 680uF 35v 10x10</t>
  </si>
  <si>
    <t>SIKIL GANGSAL</t>
  </si>
  <si>
    <t>Solid Capasitor 100uF 50v 10x10</t>
  </si>
  <si>
    <t>IC Regulator Switching LM2576S-3.3 TO-263-5 - 4pcs</t>
  </si>
  <si>
    <t>StarElektro</t>
  </si>
  <si>
    <t>IC Regulator Switching LM2576S-5 TO-263-5 - 4pcs</t>
  </si>
  <si>
    <t>IC Regulator Switching LM2576S-12 TO-263-5 - 4pcs</t>
  </si>
  <si>
    <t>Capacitor Tantalum 22uF 10V 3528</t>
  </si>
  <si>
    <t>Putra Niaga Elektronik</t>
  </si>
  <si>
    <t>Relay Omron 5V G5V-1</t>
  </si>
  <si>
    <t>ESP32-S3-WROOM-1U</t>
  </si>
  <si>
    <t>KHURS IOT</t>
  </si>
  <si>
    <t>SubTotal Harga Item</t>
  </si>
  <si>
    <t>Ongkir</t>
  </si>
  <si>
    <t>Diskon</t>
  </si>
  <si>
    <t>Asuransi Pengiriman</t>
  </si>
  <si>
    <t>Layanan Tokopedia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</si>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</sst>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78" fontId="0" fillId="0" borderId="0" xfId="1" applyNumberFormat="1">
      <alignment vertical="center"/>
    </xf>
    <xf numFmtId="178" fontId="0" fillId="0" borderId="0" xfId="0" applyNumberFormat="1" applyFill="1" applyAlignment="1">
      <alignment vertical="center"/>
    </xf>
    <xf numFmtId="178" fontId="1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 applyAlignment="1">
      <alignment vertical="center"/>
    </xf>
    <xf numFmtId="178" fontId="1" fillId="0" borderId="0" xfId="1" applyNumberFormat="1" applyFont="1">
      <alignment vertical="center"/>
    </xf>
    <xf numFmtId="3" fontId="0" fillId="0" borderId="0" xfId="0" applyNumberFormat="1" applyAlignment="1">
      <alignment horizontal="right" vertical="center"/>
    </xf>
    <xf numFmtId="0" fontId="2" fillId="0" borderId="0" xfId="6" applyFont="1">
      <alignment vertical="center"/>
    </xf>
    <xf numFmtId="0" fontId="3" fillId="0" borderId="0" xfId="6">
      <alignment vertical="center"/>
    </xf>
    <xf numFmtId="58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kopedia.com/syalis-electrical/weact-studio-stm32h743vit6-h743-lcd-stm32-0-96-inch-lcd-tft-st7735-arm-cortex-m7-480mhz-1mb-ram-2mb-rom-usb-type-c-port-syalis-1732236224215483772" TargetMode="External"/><Relationship Id="rId7" Type="http://schemas.openxmlformats.org/officeDocument/2006/relationships/hyperlink" Target="https://www.tokopedia.com/hwthinker/st-link-stlink-st-link-v2-mini-stm8-stm32-downloader-programmer-1" TargetMode="External"/><Relationship Id="rId6" Type="http://schemas.openxmlformats.org/officeDocument/2006/relationships/hyperlink" Target="https://www.tokopedia.com/hwthinker/weact-stm32h7-stm32h743-stm32-stm32h743vit6-openmv-development-board" TargetMode="External"/><Relationship Id="rId5" Type="http://schemas.openxmlformats.org/officeDocument/2006/relationships/hyperlink" Target="https://www.tokopedia.com/nnaudio/ws16-konektor-4-pin-plug-n-socket-ip67-ip68-ws16-4-pin" TargetMode="External"/><Relationship Id="rId4" Type="http://schemas.openxmlformats.org/officeDocument/2006/relationships/hyperlink" Target="https://www.tokopedia.com/setiajayajkt/lutron-lcr-9183-lcr-meter" TargetMode="External"/><Relationship Id="rId3" Type="http://schemas.openxmlformats.org/officeDocument/2006/relationships/hyperlink" Target="https://www.tokopedia.com/duniaalatukur/lutron-lcr-9184-lcr-meter-dual-lcd-display" TargetMode="External"/><Relationship Id="rId2" Type="http://schemas.openxmlformats.org/officeDocument/2006/relationships/hyperlink" Target="https://www.tokopedia.com/solusibutawarna/lcr-meter-digital-et-430-handheld-bridge-tester-capitance-inductance-resistance-1731291026805524148" TargetMode="External"/><Relationship Id="rId1" Type="http://schemas.openxmlformats.org/officeDocument/2006/relationships/hyperlink" Target="https://www.tokopedia.com/figi-shop/digital-lcr-esr-tester-transistor-inductance-high-precision-fnirsi-lc1020e-1733828069655152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E34" sqref="E34"/>
    </sheetView>
  </sheetViews>
  <sheetFormatPr defaultColWidth="9" defaultRowHeight="16.8" outlineLevelCol="6"/>
  <cols>
    <col min="3" max="3" width="14.578125" customWidth="1"/>
    <col min="4" max="5" width="31.25" customWidth="1"/>
    <col min="6" max="6" width="11.0625" customWidth="1"/>
    <col min="7" max="7" width="10.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4"/>
    </row>
    <row r="2" spans="1:6">
      <c r="A2">
        <v>1</v>
      </c>
      <c r="C2" t="s">
        <v>6</v>
      </c>
      <c r="D2" t="s">
        <v>7</v>
      </c>
      <c r="E2" t="s">
        <v>8</v>
      </c>
      <c r="F2" s="3">
        <v>627605</v>
      </c>
    </row>
    <row r="3" spans="1:6">
      <c r="A3">
        <v>2</v>
      </c>
      <c r="C3" s="13" t="s">
        <v>9</v>
      </c>
      <c r="D3" t="s">
        <v>10</v>
      </c>
      <c r="F3" s="3">
        <v>96300000</v>
      </c>
    </row>
    <row r="4" spans="1:6">
      <c r="A4">
        <v>3</v>
      </c>
      <c r="C4" t="s">
        <v>11</v>
      </c>
      <c r="D4" t="s">
        <v>12</v>
      </c>
      <c r="F4" s="3">
        <v>96300000</v>
      </c>
    </row>
    <row r="5" spans="1:6">
      <c r="A5">
        <v>4</v>
      </c>
      <c r="C5" t="s">
        <v>13</v>
      </c>
      <c r="D5" t="s">
        <v>14</v>
      </c>
      <c r="E5" t="s">
        <v>15</v>
      </c>
      <c r="F5" s="3">
        <v>163100</v>
      </c>
    </row>
    <row r="6" spans="1:6">
      <c r="A6">
        <v>5</v>
      </c>
      <c r="C6" t="s">
        <v>16</v>
      </c>
      <c r="D6" t="s">
        <v>17</v>
      </c>
      <c r="E6" t="s">
        <v>18</v>
      </c>
      <c r="F6" s="3">
        <v>122400</v>
      </c>
    </row>
    <row r="7" spans="3:6">
      <c r="C7" t="s">
        <v>16</v>
      </c>
      <c r="D7" t="s">
        <v>19</v>
      </c>
      <c r="E7" t="s">
        <v>20</v>
      </c>
      <c r="F7" s="3">
        <v>214000</v>
      </c>
    </row>
    <row r="8" spans="1:6">
      <c r="A8">
        <v>6</v>
      </c>
      <c r="C8" t="s">
        <v>21</v>
      </c>
      <c r="D8" t="s">
        <v>22</v>
      </c>
      <c r="F8" s="3">
        <v>13800000</v>
      </c>
    </row>
    <row r="9" spans="1:6">
      <c r="A9">
        <v>7</v>
      </c>
      <c r="C9" t="s">
        <v>23</v>
      </c>
      <c r="D9" t="s">
        <v>24</v>
      </c>
      <c r="F9" s="3">
        <v>13800000</v>
      </c>
    </row>
    <row r="10" spans="1:6">
      <c r="A10">
        <v>8</v>
      </c>
      <c r="C10" t="s">
        <v>25</v>
      </c>
      <c r="D10" t="s">
        <v>26</v>
      </c>
      <c r="E10" t="s">
        <v>27</v>
      </c>
      <c r="F10" s="3">
        <v>57650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4"/>
  <sheetViews>
    <sheetView zoomScale="120" zoomScaleNormal="120" workbookViewId="0">
      <selection activeCell="C26" sqref="C26"/>
    </sheetView>
  </sheetViews>
  <sheetFormatPr defaultColWidth="9" defaultRowHeight="16.8" outlineLevelCol="7"/>
  <cols>
    <col min="2" max="2" width="28.4375" customWidth="1"/>
    <col min="3" max="3" width="22.0234375" customWidth="1"/>
    <col min="4" max="4" width="9.5" style="10"/>
    <col min="8" max="8" width="132.3125" customWidth="1"/>
  </cols>
  <sheetData>
    <row r="2" spans="1:8">
      <c r="A2">
        <v>1</v>
      </c>
      <c r="B2" t="s">
        <v>28</v>
      </c>
      <c r="C2" t="s">
        <v>29</v>
      </c>
      <c r="D2" s="10">
        <v>165000</v>
      </c>
      <c r="H2" s="11" t="s">
        <v>30</v>
      </c>
    </row>
    <row r="4" spans="1:8">
      <c r="A4">
        <v>2</v>
      </c>
      <c r="B4" t="s">
        <v>31</v>
      </c>
      <c r="C4" t="s">
        <v>32</v>
      </c>
      <c r="D4" s="10">
        <v>47000</v>
      </c>
      <c r="H4" s="11" t="s">
        <v>33</v>
      </c>
    </row>
    <row r="5" spans="3:8">
      <c r="C5" t="s">
        <v>34</v>
      </c>
      <c r="D5" s="10">
        <v>333000</v>
      </c>
      <c r="E5"/>
      <c r="H5" s="12" t="s">
        <v>35</v>
      </c>
    </row>
    <row r="6" spans="3:8">
      <c r="C6" t="s">
        <v>36</v>
      </c>
      <c r="D6" s="10">
        <v>810000</v>
      </c>
      <c r="E6" t="s">
        <v>37</v>
      </c>
      <c r="H6" s="12" t="s">
        <v>38</v>
      </c>
    </row>
    <row r="8" spans="1:4">
      <c r="A8">
        <v>3</v>
      </c>
      <c r="B8" t="s">
        <v>39</v>
      </c>
      <c r="C8" t="s">
        <v>40</v>
      </c>
      <c r="D8" s="10">
        <f>BSC!H1</f>
        <v>515289</v>
      </c>
    </row>
    <row r="10" spans="1:3">
      <c r="A10">
        <v>4</v>
      </c>
      <c r="B10" t="s">
        <v>41</v>
      </c>
      <c r="C10" t="s">
        <v>42</v>
      </c>
    </row>
    <row r="11" spans="3:8">
      <c r="C11" t="s">
        <v>43</v>
      </c>
      <c r="D11" s="10">
        <v>2933000</v>
      </c>
      <c r="H11" s="12" t="s">
        <v>44</v>
      </c>
    </row>
    <row r="12" spans="3:8">
      <c r="C12" t="s">
        <v>45</v>
      </c>
      <c r="D12" s="10">
        <v>2350000</v>
      </c>
      <c r="H12" s="12" t="s">
        <v>46</v>
      </c>
    </row>
    <row r="13" spans="3:8">
      <c r="C13" t="s">
        <v>47</v>
      </c>
      <c r="D13" s="10">
        <v>2200000</v>
      </c>
      <c r="H13" s="12" t="s">
        <v>48</v>
      </c>
    </row>
    <row r="14" spans="3:8">
      <c r="C14" t="s">
        <v>49</v>
      </c>
      <c r="D14" s="10">
        <v>1200000</v>
      </c>
      <c r="H14" s="12" t="s">
        <v>50</v>
      </c>
    </row>
  </sheetData>
  <hyperlinks>
    <hyperlink ref="H14" r:id="rId1" display="https://www.tokopedia.com/figi-shop/digital-lcr-esr-tester-transistor-inductance-high-precision-fnirsi-lc1020e-1733828069655152009" tooltip="https://www.tokopedia.com/figi-shop/digital-lcr-esr-tester-transistor-inductance-high-precision-fnirsi-lc1020e-1733828069655152009"/>
    <hyperlink ref="H13" r:id="rId2" display="https://www.tokopedia.com/solusibutawarna/lcr-meter-digital-et-430-handheld-bridge-tester-capitance-inductance-resistance-1731291026805524148" tooltip="https://www.tokopedia.com/solusibutawarna/lcr-meter-digital-et-430-handheld-bridge-tester-capitance-inductance-resistance-1731291026805524148"/>
    <hyperlink ref="H11" r:id="rId3" display="https://www.tokopedia.com/duniaalatukur/lutron-lcr-9184-lcr-meter-dual-lcd-display" tooltip="https://www.tokopedia.com/duniaalatukur/lutron-lcr-9184-lcr-meter-dual-lcd-display"/>
    <hyperlink ref="H12" r:id="rId4" display="https://www.tokopedia.com/setiajayajkt/lutron-lcr-9183-lcr-meter" tooltip="https://www.tokopedia.com/setiajayajkt/lutron-lcr-9183-lcr-meter"/>
    <hyperlink ref="H2" r:id="rId5" display="https://www.tokopedia.com/nnaudio/ws16-konektor-4-pin-plug-n-socket-ip67-ip68-ws16-4-pin"/>
    <hyperlink ref="H6" r:id="rId6" display="https://www.tokopedia.com/hwthinker/weact-stm32h7-stm32h743-stm32-stm32h743vit6-openmv-development-board"/>
    <hyperlink ref="H4" r:id="rId7" display="https://www.tokopedia.com/hwthinker/st-link-stlink-st-link-v2-mini-stm8-stm32-downloader-programmer-1"/>
    <hyperlink ref="H5" r:id="rId8" display="https://www.tokopedia.com/syalis-electrical/weact-studio-stm32h743vit6-h743-lcd-stm32-0-96-inch-lcd-tft-st7735-arm-cortex-m7-480mhz-1mb-ram-2mb-rom-usb-type-c-port-syalis-1732236224215483772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workbookViewId="0">
      <selection activeCell="H1" sqref="H1"/>
    </sheetView>
  </sheetViews>
  <sheetFormatPr defaultColWidth="9" defaultRowHeight="16.8" outlineLevelCol="7"/>
  <cols>
    <col min="1" max="1" width="56.125" customWidth="1"/>
    <col min="2" max="2" width="41.25" customWidth="1"/>
    <col min="3" max="3" width="8.125" customWidth="1"/>
    <col min="4" max="4" width="20.8125" customWidth="1"/>
    <col min="5" max="5" width="11.4375" customWidth="1"/>
    <col min="6" max="6" width="7.03125" customWidth="1"/>
  </cols>
  <sheetData>
    <row r="1" spans="1:8">
      <c r="A1" s="6" t="s">
        <v>51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8" t="s">
        <v>57</v>
      </c>
      <c r="H1" s="9">
        <f>SUM(H2:H35)</f>
        <v>515289</v>
      </c>
    </row>
    <row r="2" spans="1:8">
      <c r="A2" s="6" t="s">
        <v>58</v>
      </c>
      <c r="B2" s="6" t="s">
        <v>59</v>
      </c>
      <c r="C2" s="6">
        <v>2</v>
      </c>
      <c r="D2" s="7" t="s">
        <v>60</v>
      </c>
      <c r="E2" s="6"/>
      <c r="F2" s="3">
        <v>5</v>
      </c>
      <c r="G2">
        <v>3000</v>
      </c>
      <c r="H2" s="3">
        <f>F2*G2</f>
        <v>15000</v>
      </c>
    </row>
    <row r="3" spans="1:8">
      <c r="A3" s="6" t="s">
        <v>61</v>
      </c>
      <c r="B3" s="15" t="s">
        <v>62</v>
      </c>
      <c r="C3" s="6">
        <v>5</v>
      </c>
      <c r="D3" s="7" t="s">
        <v>63</v>
      </c>
      <c r="E3" s="6"/>
      <c r="F3" s="3">
        <v>10</v>
      </c>
      <c r="G3" s="3">
        <f>1495/5</f>
        <v>299</v>
      </c>
      <c r="H3" s="3">
        <f>F3*G3</f>
        <v>2990</v>
      </c>
    </row>
    <row r="4" spans="1:8">
      <c r="A4" s="6" t="s">
        <v>64</v>
      </c>
      <c r="B4" s="15" t="s">
        <v>62</v>
      </c>
      <c r="C4" s="6">
        <v>13</v>
      </c>
      <c r="D4" s="7" t="s">
        <v>65</v>
      </c>
      <c r="E4" s="6"/>
      <c r="F4" s="3">
        <v>20</v>
      </c>
      <c r="G4" s="3">
        <f>2133/5</f>
        <v>426.6</v>
      </c>
      <c r="H4" s="3">
        <f>F4*G4</f>
        <v>8532</v>
      </c>
    </row>
    <row r="5" spans="1:8">
      <c r="A5" s="6" t="s">
        <v>66</v>
      </c>
      <c r="B5" s="15" t="s">
        <v>62</v>
      </c>
      <c r="C5" s="6">
        <v>2</v>
      </c>
      <c r="D5" s="7" t="s">
        <v>67</v>
      </c>
      <c r="E5" s="6"/>
      <c r="F5" s="3">
        <v>10</v>
      </c>
      <c r="G5" s="3">
        <f>2735/5</f>
        <v>547</v>
      </c>
      <c r="H5" s="3">
        <f>F5*G5</f>
        <v>5470</v>
      </c>
    </row>
    <row r="6" spans="1:8">
      <c r="A6" s="6" t="s">
        <v>68</v>
      </c>
      <c r="B6" s="15" t="s">
        <v>62</v>
      </c>
      <c r="C6" s="6">
        <v>1</v>
      </c>
      <c r="D6" s="7" t="s">
        <v>69</v>
      </c>
      <c r="E6" s="6"/>
      <c r="F6" s="3">
        <v>10</v>
      </c>
      <c r="G6" s="3">
        <f>1495/5</f>
        <v>299</v>
      </c>
      <c r="H6" s="3">
        <f>F6*G6</f>
        <v>2990</v>
      </c>
    </row>
    <row r="7" spans="1:8">
      <c r="A7" s="6" t="s">
        <v>70</v>
      </c>
      <c r="B7" s="15" t="s">
        <v>62</v>
      </c>
      <c r="C7" s="6">
        <v>1</v>
      </c>
      <c r="D7" s="7" t="s">
        <v>71</v>
      </c>
      <c r="E7" s="6"/>
      <c r="F7" s="3">
        <v>10</v>
      </c>
      <c r="G7" s="3">
        <f>1175/5</f>
        <v>235</v>
      </c>
      <c r="H7" s="3">
        <f>F7*G7</f>
        <v>2350</v>
      </c>
    </row>
    <row r="8" spans="1:8">
      <c r="A8" s="6" t="s">
        <v>72</v>
      </c>
      <c r="B8" s="15" t="s">
        <v>62</v>
      </c>
      <c r="C8" s="6">
        <v>2</v>
      </c>
      <c r="D8" s="7" t="s">
        <v>73</v>
      </c>
      <c r="E8" s="6"/>
      <c r="F8" s="3">
        <v>10</v>
      </c>
      <c r="G8" s="3">
        <f>1175/5</f>
        <v>235</v>
      </c>
      <c r="H8" s="3">
        <f>F8*G8</f>
        <v>2350</v>
      </c>
    </row>
    <row r="9" spans="1:8">
      <c r="A9" s="6" t="s">
        <v>74</v>
      </c>
      <c r="B9" s="6" t="s">
        <v>75</v>
      </c>
      <c r="C9" s="6">
        <v>1</v>
      </c>
      <c r="D9" s="7" t="s">
        <v>76</v>
      </c>
      <c r="E9" s="6"/>
      <c r="F9" s="3">
        <v>5</v>
      </c>
      <c r="G9" s="3">
        <v>4203</v>
      </c>
      <c r="H9" s="3">
        <f>F9*G9</f>
        <v>21015</v>
      </c>
    </row>
    <row r="10" spans="1:8">
      <c r="A10" s="6" t="s">
        <v>77</v>
      </c>
      <c r="B10" s="15" t="s">
        <v>62</v>
      </c>
      <c r="C10" s="6">
        <v>1</v>
      </c>
      <c r="D10" s="7" t="s">
        <v>76</v>
      </c>
      <c r="E10" s="6"/>
      <c r="F10" s="3">
        <v>5</v>
      </c>
      <c r="G10" s="3">
        <v>2954</v>
      </c>
      <c r="H10" s="3">
        <f>F10*G10</f>
        <v>14770</v>
      </c>
    </row>
    <row r="11" spans="1:8">
      <c r="A11" s="6" t="s">
        <v>78</v>
      </c>
      <c r="B11" s="6" t="s">
        <v>79</v>
      </c>
      <c r="C11" s="6">
        <v>3</v>
      </c>
      <c r="D11" s="7" t="s">
        <v>80</v>
      </c>
      <c r="E11" s="6"/>
      <c r="F11" s="3">
        <v>10</v>
      </c>
      <c r="G11" s="3">
        <f>2305/5</f>
        <v>461</v>
      </c>
      <c r="H11" s="3">
        <f>F11*G11</f>
        <v>4610</v>
      </c>
    </row>
    <row r="12" spans="1:8">
      <c r="A12" s="6" t="s">
        <v>81</v>
      </c>
      <c r="B12" s="6" t="s">
        <v>82</v>
      </c>
      <c r="C12" s="6">
        <v>4</v>
      </c>
      <c r="D12" s="7" t="s">
        <v>83</v>
      </c>
      <c r="E12" s="6"/>
      <c r="F12" s="3">
        <v>10</v>
      </c>
      <c r="G12" s="3">
        <v>919</v>
      </c>
      <c r="H12" s="3">
        <f>F12*G12</f>
        <v>9190</v>
      </c>
    </row>
    <row r="13" spans="1:8">
      <c r="A13" s="6" t="s">
        <v>84</v>
      </c>
      <c r="B13" s="6" t="s">
        <v>85</v>
      </c>
      <c r="C13" s="6">
        <v>1</v>
      </c>
      <c r="D13" s="7" t="s">
        <v>86</v>
      </c>
      <c r="E13" s="6"/>
      <c r="F13" s="3">
        <v>10</v>
      </c>
      <c r="G13" s="3">
        <v>1445</v>
      </c>
      <c r="H13" s="3">
        <f>F13*G13</f>
        <v>14450</v>
      </c>
    </row>
    <row r="14" spans="1:8">
      <c r="A14" s="6" t="s">
        <v>87</v>
      </c>
      <c r="B14" s="6" t="s">
        <v>88</v>
      </c>
      <c r="C14" s="6">
        <v>1</v>
      </c>
      <c r="D14" s="7" t="s">
        <v>89</v>
      </c>
      <c r="E14" s="6"/>
      <c r="F14" s="3">
        <v>5</v>
      </c>
      <c r="G14" s="3">
        <v>6500</v>
      </c>
      <c r="H14" s="3">
        <f>F14*G14</f>
        <v>32500</v>
      </c>
    </row>
    <row r="15" spans="1:8">
      <c r="A15" s="6" t="s">
        <v>90</v>
      </c>
      <c r="B15" s="6" t="s">
        <v>91</v>
      </c>
      <c r="C15" s="6">
        <v>3</v>
      </c>
      <c r="D15" s="7" t="s">
        <v>60</v>
      </c>
      <c r="E15" s="6"/>
      <c r="F15" s="3">
        <v>10</v>
      </c>
      <c r="G15" s="3">
        <v>3000</v>
      </c>
      <c r="H15" s="3">
        <f t="shared" ref="H15:H35" si="0">F15*G15</f>
        <v>30000</v>
      </c>
    </row>
    <row r="16" spans="1:8">
      <c r="A16" s="6" t="s">
        <v>92</v>
      </c>
      <c r="B16" s="6" t="s">
        <v>91</v>
      </c>
      <c r="C16" s="6">
        <v>1</v>
      </c>
      <c r="D16" s="7" t="s">
        <v>93</v>
      </c>
      <c r="E16" s="6"/>
      <c r="F16" s="3">
        <v>5</v>
      </c>
      <c r="G16" s="3">
        <v>3000</v>
      </c>
      <c r="H16" s="3">
        <f t="shared" si="0"/>
        <v>15000</v>
      </c>
    </row>
    <row r="17" spans="1:8">
      <c r="A17" s="6" t="s">
        <v>94</v>
      </c>
      <c r="B17" s="6" t="s">
        <v>95</v>
      </c>
      <c r="C17" s="6">
        <v>4</v>
      </c>
      <c r="D17" s="7" t="s">
        <v>96</v>
      </c>
      <c r="E17" s="6"/>
      <c r="F17" s="3">
        <v>30</v>
      </c>
      <c r="G17" s="3">
        <v>499</v>
      </c>
      <c r="H17" s="3">
        <f t="shared" si="0"/>
        <v>14970</v>
      </c>
    </row>
    <row r="18" spans="1:8">
      <c r="A18" s="6" t="s">
        <v>97</v>
      </c>
      <c r="B18" s="15" t="s">
        <v>62</v>
      </c>
      <c r="C18" s="6">
        <v>3</v>
      </c>
      <c r="D18" s="7">
        <v>300</v>
      </c>
      <c r="E18" s="6"/>
      <c r="F18" s="3">
        <v>50</v>
      </c>
      <c r="G18" s="3">
        <f t="shared" ref="G18:G28" si="1">625/5</f>
        <v>125</v>
      </c>
      <c r="H18" s="3">
        <f t="shared" si="0"/>
        <v>6250</v>
      </c>
    </row>
    <row r="19" spans="1:8">
      <c r="A19" s="6" t="s">
        <v>98</v>
      </c>
      <c r="B19" s="15" t="s">
        <v>62</v>
      </c>
      <c r="C19" s="6">
        <v>1</v>
      </c>
      <c r="D19" s="7" t="s">
        <v>99</v>
      </c>
      <c r="E19" s="6"/>
      <c r="F19" s="3">
        <v>50</v>
      </c>
      <c r="G19" s="3">
        <f t="shared" si="1"/>
        <v>125</v>
      </c>
      <c r="H19" s="3">
        <f t="shared" si="0"/>
        <v>6250</v>
      </c>
    </row>
    <row r="20" spans="1:8">
      <c r="A20" s="6" t="s">
        <v>100</v>
      </c>
      <c r="B20" s="15" t="s">
        <v>62</v>
      </c>
      <c r="C20" s="6">
        <v>1</v>
      </c>
      <c r="D20" s="7" t="s">
        <v>101</v>
      </c>
      <c r="E20" s="6"/>
      <c r="F20" s="3">
        <v>50</v>
      </c>
      <c r="G20" s="3">
        <f t="shared" si="1"/>
        <v>125</v>
      </c>
      <c r="H20" s="3">
        <f t="shared" si="0"/>
        <v>6250</v>
      </c>
    </row>
    <row r="21" spans="1:8">
      <c r="A21" s="6" t="s">
        <v>102</v>
      </c>
      <c r="B21" s="15" t="s">
        <v>62</v>
      </c>
      <c r="C21" s="6">
        <v>1</v>
      </c>
      <c r="D21" s="7">
        <v>330</v>
      </c>
      <c r="E21" s="6"/>
      <c r="F21" s="3">
        <v>50</v>
      </c>
      <c r="G21" s="3">
        <f t="shared" si="1"/>
        <v>125</v>
      </c>
      <c r="H21" s="3">
        <f t="shared" si="0"/>
        <v>6250</v>
      </c>
    </row>
    <row r="22" spans="1:8">
      <c r="A22" s="6" t="s">
        <v>103</v>
      </c>
      <c r="B22" s="15" t="s">
        <v>62</v>
      </c>
      <c r="C22" s="6">
        <v>1</v>
      </c>
      <c r="D22" s="7">
        <v>100</v>
      </c>
      <c r="E22" s="6"/>
      <c r="F22" s="3">
        <v>50</v>
      </c>
      <c r="G22" s="3">
        <f t="shared" si="1"/>
        <v>125</v>
      </c>
      <c r="H22" s="3">
        <f t="shared" si="0"/>
        <v>6250</v>
      </c>
    </row>
    <row r="23" spans="1:8">
      <c r="A23" s="6" t="s">
        <v>104</v>
      </c>
      <c r="B23" s="15" t="s">
        <v>62</v>
      </c>
      <c r="C23" s="6">
        <v>2</v>
      </c>
      <c r="D23" s="7" t="s">
        <v>105</v>
      </c>
      <c r="E23" s="6"/>
      <c r="F23" s="3">
        <v>50</v>
      </c>
      <c r="G23" s="3">
        <f t="shared" si="1"/>
        <v>125</v>
      </c>
      <c r="H23" s="3">
        <f t="shared" si="0"/>
        <v>6250</v>
      </c>
    </row>
    <row r="24" spans="1:8">
      <c r="A24" s="6" t="s">
        <v>106</v>
      </c>
      <c r="B24" s="15" t="s">
        <v>62</v>
      </c>
      <c r="C24" s="6">
        <v>2</v>
      </c>
      <c r="D24" s="7" t="s">
        <v>107</v>
      </c>
      <c r="E24" s="6"/>
      <c r="F24" s="3">
        <v>50</v>
      </c>
      <c r="G24" s="3">
        <f t="shared" si="1"/>
        <v>125</v>
      </c>
      <c r="H24" s="3">
        <f t="shared" si="0"/>
        <v>6250</v>
      </c>
    </row>
    <row r="25" spans="1:8">
      <c r="A25" s="6" t="s">
        <v>108</v>
      </c>
      <c r="B25" s="15" t="s">
        <v>62</v>
      </c>
      <c r="C25" s="6">
        <v>2</v>
      </c>
      <c r="D25" s="7" t="s">
        <v>109</v>
      </c>
      <c r="E25" s="6"/>
      <c r="F25" s="3">
        <v>50</v>
      </c>
      <c r="G25" s="3">
        <f t="shared" si="1"/>
        <v>125</v>
      </c>
      <c r="H25" s="3">
        <f t="shared" si="0"/>
        <v>6250</v>
      </c>
    </row>
    <row r="26" spans="1:8">
      <c r="A26" s="6" t="s">
        <v>110</v>
      </c>
      <c r="B26" s="6">
        <v>2512</v>
      </c>
      <c r="C26" s="6">
        <v>1</v>
      </c>
      <c r="D26" s="7">
        <v>330</v>
      </c>
      <c r="E26" s="6"/>
      <c r="F26" s="3">
        <v>50</v>
      </c>
      <c r="G26" s="3">
        <f t="shared" si="1"/>
        <v>125</v>
      </c>
      <c r="H26" s="3">
        <f t="shared" si="0"/>
        <v>6250</v>
      </c>
    </row>
    <row r="27" spans="1:8">
      <c r="A27" s="6" t="s">
        <v>111</v>
      </c>
      <c r="B27" s="15" t="s">
        <v>62</v>
      </c>
      <c r="C27" s="6">
        <v>1</v>
      </c>
      <c r="D27" s="7" t="s">
        <v>112</v>
      </c>
      <c r="E27" s="6"/>
      <c r="F27" s="3">
        <v>50</v>
      </c>
      <c r="G27" s="3">
        <f t="shared" si="1"/>
        <v>125</v>
      </c>
      <c r="H27" s="3">
        <f t="shared" si="0"/>
        <v>6250</v>
      </c>
    </row>
    <row r="28" spans="1:8">
      <c r="A28" s="6" t="s">
        <v>113</v>
      </c>
      <c r="B28" s="15" t="s">
        <v>62</v>
      </c>
      <c r="C28" s="6">
        <v>1</v>
      </c>
      <c r="D28" s="7" t="s">
        <v>114</v>
      </c>
      <c r="E28" s="6"/>
      <c r="F28" s="3">
        <v>50</v>
      </c>
      <c r="G28" s="3">
        <f t="shared" si="1"/>
        <v>125</v>
      </c>
      <c r="H28" s="3">
        <f t="shared" si="0"/>
        <v>6250</v>
      </c>
    </row>
    <row r="29" spans="1:8">
      <c r="A29" s="6" t="s">
        <v>115</v>
      </c>
      <c r="B29" s="6" t="s">
        <v>116</v>
      </c>
      <c r="C29" s="6">
        <v>2</v>
      </c>
      <c r="D29" s="7" t="s">
        <v>117</v>
      </c>
      <c r="E29" s="6"/>
      <c r="F29" s="3">
        <v>5</v>
      </c>
      <c r="G29" s="3">
        <v>869</v>
      </c>
      <c r="H29" s="3">
        <f t="shared" si="0"/>
        <v>4345</v>
      </c>
    </row>
    <row r="30" spans="1:8">
      <c r="A30" s="6" t="s">
        <v>118</v>
      </c>
      <c r="B30" s="6" t="s">
        <v>119</v>
      </c>
      <c r="C30" s="6">
        <v>1</v>
      </c>
      <c r="D30" s="7" t="s">
        <v>120</v>
      </c>
      <c r="E30" s="6"/>
      <c r="F30" s="3">
        <v>4</v>
      </c>
      <c r="G30" s="3">
        <v>5398</v>
      </c>
      <c r="H30" s="3">
        <f t="shared" si="0"/>
        <v>21592</v>
      </c>
    </row>
    <row r="31" spans="1:8">
      <c r="A31" s="6" t="s">
        <v>121</v>
      </c>
      <c r="B31" s="6" t="s">
        <v>122</v>
      </c>
      <c r="C31" s="6">
        <v>1</v>
      </c>
      <c r="D31" s="7" t="s">
        <v>123</v>
      </c>
      <c r="E31" s="6"/>
      <c r="F31" s="3">
        <v>2</v>
      </c>
      <c r="G31" s="3">
        <v>30000</v>
      </c>
      <c r="H31" s="3">
        <f t="shared" si="0"/>
        <v>60000</v>
      </c>
    </row>
    <row r="32" spans="1:8">
      <c r="A32" s="6" t="s">
        <v>124</v>
      </c>
      <c r="B32" s="6" t="s">
        <v>125</v>
      </c>
      <c r="C32" s="6">
        <v>1</v>
      </c>
      <c r="D32" s="7" t="s">
        <v>126</v>
      </c>
      <c r="E32" s="6"/>
      <c r="F32" s="3">
        <v>5</v>
      </c>
      <c r="G32" s="3">
        <v>1583</v>
      </c>
      <c r="H32" s="3">
        <f t="shared" si="0"/>
        <v>7915</v>
      </c>
    </row>
    <row r="33" spans="1:8">
      <c r="A33" s="6" t="s">
        <v>127</v>
      </c>
      <c r="B33" s="6" t="s">
        <v>128</v>
      </c>
      <c r="C33" s="6">
        <v>1</v>
      </c>
      <c r="D33" s="7" t="s">
        <v>129</v>
      </c>
      <c r="E33" s="6"/>
      <c r="F33" s="3">
        <v>2</v>
      </c>
      <c r="G33" s="3">
        <v>40000</v>
      </c>
      <c r="H33" s="3">
        <f t="shared" si="0"/>
        <v>80000</v>
      </c>
    </row>
    <row r="34" spans="1:8">
      <c r="A34" s="6" t="s">
        <v>130</v>
      </c>
      <c r="B34" s="6" t="s">
        <v>131</v>
      </c>
      <c r="C34" s="6">
        <v>1</v>
      </c>
      <c r="D34" s="7" t="s">
        <v>132</v>
      </c>
      <c r="E34" s="6"/>
      <c r="F34" s="3">
        <v>2</v>
      </c>
      <c r="G34" s="3">
        <v>35000</v>
      </c>
      <c r="H34" s="3">
        <f t="shared" si="0"/>
        <v>70000</v>
      </c>
    </row>
    <row r="35" spans="1:8">
      <c r="A35" s="6" t="s">
        <v>133</v>
      </c>
      <c r="B35" s="6" t="s">
        <v>134</v>
      </c>
      <c r="C35" s="6">
        <v>1</v>
      </c>
      <c r="D35" s="7" t="s">
        <v>135</v>
      </c>
      <c r="E35" s="6"/>
      <c r="F35" s="3">
        <v>2</v>
      </c>
      <c r="G35" s="3">
        <v>3250</v>
      </c>
      <c r="H35" s="3">
        <f t="shared" si="0"/>
        <v>6500</v>
      </c>
    </row>
    <row r="36" spans="1:8">
      <c r="A36" s="6" t="s">
        <v>136</v>
      </c>
      <c r="B36" s="6" t="s">
        <v>137</v>
      </c>
      <c r="C36" s="6">
        <v>1</v>
      </c>
      <c r="D36" s="7" t="s">
        <v>138</v>
      </c>
      <c r="E36" s="6"/>
      <c r="F36" s="3">
        <v>2</v>
      </c>
      <c r="G36" s="3">
        <v>1500</v>
      </c>
      <c r="H36" s="3">
        <f>F36*G36</f>
        <v>3000</v>
      </c>
    </row>
    <row r="37" spans="1:8">
      <c r="A37" s="6" t="s">
        <v>136</v>
      </c>
      <c r="B37" s="6" t="s">
        <v>139</v>
      </c>
      <c r="C37" s="6">
        <v>1</v>
      </c>
      <c r="D37" s="7" t="s">
        <v>138</v>
      </c>
      <c r="E37" s="6"/>
      <c r="F37" s="3">
        <v>2</v>
      </c>
      <c r="G37" s="3">
        <v>2500</v>
      </c>
      <c r="H37" s="3">
        <f>F37*G37</f>
        <v>5000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workbookViewId="0">
      <selection activeCell="B36" sqref="B36"/>
    </sheetView>
  </sheetViews>
  <sheetFormatPr defaultColWidth="9" defaultRowHeight="16.8" outlineLevelCol="5"/>
  <cols>
    <col min="2" max="2" width="92.625" customWidth="1"/>
    <col min="4" max="4" width="18.375" customWidth="1"/>
    <col min="5" max="5" width="12.75"/>
    <col min="6" max="6" width="19.875" customWidth="1"/>
  </cols>
  <sheetData>
    <row r="1" spans="1:6">
      <c r="A1" s="1" t="s">
        <v>0</v>
      </c>
      <c r="B1" s="1" t="s">
        <v>3</v>
      </c>
      <c r="C1" s="1" t="s">
        <v>140</v>
      </c>
      <c r="D1" s="1" t="s">
        <v>5</v>
      </c>
      <c r="E1" s="1" t="s">
        <v>141</v>
      </c>
      <c r="F1" s="2"/>
    </row>
    <row r="2" spans="1:6">
      <c r="A2" s="2">
        <v>1</v>
      </c>
      <c r="B2" s="2" t="s">
        <v>142</v>
      </c>
      <c r="C2" s="3">
        <v>5</v>
      </c>
      <c r="D2" s="3">
        <v>1250</v>
      </c>
      <c r="E2" s="3">
        <f t="shared" ref="E2:E21" si="0">C2*D2</f>
        <v>6250</v>
      </c>
      <c r="F2" s="2" t="s">
        <v>143</v>
      </c>
    </row>
    <row r="3" spans="1:6">
      <c r="A3" s="2">
        <v>2</v>
      </c>
      <c r="B3" s="2" t="s">
        <v>144</v>
      </c>
      <c r="C3" s="3">
        <v>5</v>
      </c>
      <c r="D3" s="3">
        <v>1399</v>
      </c>
      <c r="E3" s="3">
        <f t="shared" si="0"/>
        <v>6995</v>
      </c>
      <c r="F3" s="2" t="s">
        <v>143</v>
      </c>
    </row>
    <row r="4" spans="1:6">
      <c r="A4" s="2">
        <v>3</v>
      </c>
      <c r="B4" s="2" t="s">
        <v>145</v>
      </c>
      <c r="C4" s="3">
        <v>5</v>
      </c>
      <c r="D4" s="3">
        <v>1990</v>
      </c>
      <c r="E4" s="3">
        <f t="shared" si="0"/>
        <v>9950</v>
      </c>
      <c r="F4" s="2" t="s">
        <v>143</v>
      </c>
    </row>
    <row r="5" spans="1:6">
      <c r="A5" s="2">
        <v>4</v>
      </c>
      <c r="B5" s="2" t="s">
        <v>146</v>
      </c>
      <c r="C5" s="3">
        <v>4</v>
      </c>
      <c r="D5" s="3">
        <v>4041</v>
      </c>
      <c r="E5" s="3">
        <f t="shared" si="0"/>
        <v>16164</v>
      </c>
      <c r="F5" s="2" t="s">
        <v>143</v>
      </c>
    </row>
    <row r="6" spans="1:6">
      <c r="A6" s="2">
        <v>5</v>
      </c>
      <c r="B6" s="2" t="s">
        <v>147</v>
      </c>
      <c r="C6" s="3">
        <v>5</v>
      </c>
      <c r="D6" s="3">
        <v>1250</v>
      </c>
      <c r="E6" s="3">
        <f t="shared" si="0"/>
        <v>6250</v>
      </c>
      <c r="F6" s="2" t="s">
        <v>143</v>
      </c>
    </row>
    <row r="7" spans="1:6">
      <c r="A7" s="2">
        <v>6</v>
      </c>
      <c r="B7" s="2" t="s">
        <v>148</v>
      </c>
      <c r="C7" s="3">
        <v>10</v>
      </c>
      <c r="D7" s="3">
        <v>499</v>
      </c>
      <c r="E7" s="3">
        <f t="shared" si="0"/>
        <v>4990</v>
      </c>
      <c r="F7" s="2" t="s">
        <v>143</v>
      </c>
    </row>
    <row r="8" spans="1:6">
      <c r="A8" s="2">
        <v>7</v>
      </c>
      <c r="B8" s="2" t="s">
        <v>149</v>
      </c>
      <c r="C8" s="3">
        <v>6</v>
      </c>
      <c r="D8" s="3">
        <v>1676</v>
      </c>
      <c r="E8" s="3">
        <f t="shared" si="0"/>
        <v>10056</v>
      </c>
      <c r="F8" s="2" t="s">
        <v>143</v>
      </c>
    </row>
    <row r="9" spans="1:6">
      <c r="A9" s="2">
        <v>8</v>
      </c>
      <c r="B9" s="2" t="s">
        <v>150</v>
      </c>
      <c r="C9" s="3">
        <v>10</v>
      </c>
      <c r="D9" s="3">
        <v>799</v>
      </c>
      <c r="E9" s="3">
        <f t="shared" si="0"/>
        <v>7990</v>
      </c>
      <c r="F9" s="2" t="s">
        <v>143</v>
      </c>
    </row>
    <row r="10" spans="1:6">
      <c r="A10" s="2">
        <v>9</v>
      </c>
      <c r="B10" s="2" t="s">
        <v>151</v>
      </c>
      <c r="C10" s="3">
        <v>20</v>
      </c>
      <c r="D10" s="3">
        <v>175</v>
      </c>
      <c r="E10" s="3">
        <f t="shared" si="0"/>
        <v>3500</v>
      </c>
      <c r="F10" s="2" t="s">
        <v>143</v>
      </c>
    </row>
    <row r="11" spans="1:6">
      <c r="A11" s="2">
        <v>10</v>
      </c>
      <c r="B11" s="2" t="s">
        <v>152</v>
      </c>
      <c r="C11" s="3">
        <v>5</v>
      </c>
      <c r="D11" s="3">
        <v>1250</v>
      </c>
      <c r="E11" s="3">
        <f t="shared" si="0"/>
        <v>6250</v>
      </c>
      <c r="F11" s="2" t="s">
        <v>143</v>
      </c>
    </row>
    <row r="12" spans="1:6">
      <c r="A12" s="2">
        <v>11</v>
      </c>
      <c r="B12" s="2" t="s">
        <v>153</v>
      </c>
      <c r="C12" s="3">
        <v>10</v>
      </c>
      <c r="D12" s="3">
        <v>1101</v>
      </c>
      <c r="E12" s="3">
        <f t="shared" si="0"/>
        <v>11010</v>
      </c>
      <c r="F12" s="2" t="s">
        <v>143</v>
      </c>
    </row>
    <row r="13" spans="1:6">
      <c r="A13" s="2">
        <v>12</v>
      </c>
      <c r="B13" s="2" t="s">
        <v>154</v>
      </c>
      <c r="C13" s="3">
        <v>5</v>
      </c>
      <c r="D13" s="3">
        <v>1250</v>
      </c>
      <c r="E13" s="3">
        <f t="shared" si="0"/>
        <v>6250</v>
      </c>
      <c r="F13" s="2" t="s">
        <v>143</v>
      </c>
    </row>
    <row r="14" spans="1:6">
      <c r="A14" s="2">
        <v>13</v>
      </c>
      <c r="B14" s="2" t="s">
        <v>155</v>
      </c>
      <c r="C14" s="3">
        <v>3</v>
      </c>
      <c r="D14" s="3">
        <v>2750</v>
      </c>
      <c r="E14" s="3">
        <f t="shared" si="0"/>
        <v>8250</v>
      </c>
      <c r="F14" s="2" t="s">
        <v>143</v>
      </c>
    </row>
    <row r="15" spans="1:6">
      <c r="A15" s="2">
        <v>14</v>
      </c>
      <c r="B15" s="2" t="s">
        <v>156</v>
      </c>
      <c r="C15" s="2">
        <v>6</v>
      </c>
      <c r="D15" s="3">
        <v>15000</v>
      </c>
      <c r="E15" s="3">
        <f t="shared" si="0"/>
        <v>90000</v>
      </c>
      <c r="F15" s="2" t="s">
        <v>157</v>
      </c>
    </row>
    <row r="16" spans="1:6">
      <c r="A16" s="2">
        <v>15</v>
      </c>
      <c r="B16" s="2" t="s">
        <v>158</v>
      </c>
      <c r="C16" s="2">
        <v>6</v>
      </c>
      <c r="D16" s="3">
        <v>3500</v>
      </c>
      <c r="E16" s="3">
        <f t="shared" si="0"/>
        <v>21000</v>
      </c>
      <c r="F16" s="2" t="s">
        <v>157</v>
      </c>
    </row>
    <row r="17" spans="1:6">
      <c r="A17" s="2">
        <v>16</v>
      </c>
      <c r="B17" s="2" t="s">
        <v>159</v>
      </c>
      <c r="C17" s="2">
        <v>1</v>
      </c>
      <c r="D17" s="3">
        <v>40000</v>
      </c>
      <c r="E17" s="3">
        <f t="shared" si="0"/>
        <v>40000</v>
      </c>
      <c r="F17" s="2" t="s">
        <v>160</v>
      </c>
    </row>
    <row r="18" spans="1:6">
      <c r="A18" s="2">
        <v>17</v>
      </c>
      <c r="B18" s="2" t="s">
        <v>161</v>
      </c>
      <c r="C18" s="2">
        <v>1</v>
      </c>
      <c r="D18" s="3">
        <v>40000</v>
      </c>
      <c r="E18" s="3">
        <f t="shared" si="0"/>
        <v>40000</v>
      </c>
      <c r="F18" s="2" t="s">
        <v>160</v>
      </c>
    </row>
    <row r="19" spans="1:6">
      <c r="A19" s="2">
        <v>18</v>
      </c>
      <c r="B19" s="2" t="s">
        <v>162</v>
      </c>
      <c r="C19" s="2">
        <v>1</v>
      </c>
      <c r="D19" s="3">
        <v>60000</v>
      </c>
      <c r="E19" s="3">
        <f t="shared" si="0"/>
        <v>60000</v>
      </c>
      <c r="F19" s="2" t="s">
        <v>160</v>
      </c>
    </row>
    <row r="20" spans="1:6">
      <c r="A20" s="2">
        <v>19</v>
      </c>
      <c r="B20" s="2" t="s">
        <v>163</v>
      </c>
      <c r="C20" s="2">
        <v>5</v>
      </c>
      <c r="D20" s="3">
        <v>2500</v>
      </c>
      <c r="E20" s="3">
        <f t="shared" si="0"/>
        <v>12500</v>
      </c>
      <c r="F20" s="2" t="s">
        <v>164</v>
      </c>
    </row>
    <row r="21" spans="1:6">
      <c r="A21" s="2">
        <v>20</v>
      </c>
      <c r="B21" s="2" t="s">
        <v>165</v>
      </c>
      <c r="C21" s="2">
        <v>2</v>
      </c>
      <c r="D21" s="3">
        <v>15000</v>
      </c>
      <c r="E21" s="3">
        <f t="shared" si="0"/>
        <v>30000</v>
      </c>
      <c r="F21" s="2" t="s">
        <v>164</v>
      </c>
    </row>
    <row r="22" spans="1:6">
      <c r="A22" s="2">
        <v>21</v>
      </c>
      <c r="B22" s="2" t="s">
        <v>166</v>
      </c>
      <c r="C22" s="2">
        <v>2</v>
      </c>
      <c r="D22" s="3">
        <v>120000</v>
      </c>
      <c r="E22" s="3">
        <v>240000</v>
      </c>
      <c r="F22" s="2" t="s">
        <v>167</v>
      </c>
    </row>
    <row r="23" spans="1:6">
      <c r="A23" s="2"/>
      <c r="B23" s="2"/>
      <c r="C23" s="2"/>
      <c r="D23" s="2" t="s">
        <v>168</v>
      </c>
      <c r="E23" s="4">
        <f>SUM(E2:E22)</f>
        <v>637405</v>
      </c>
      <c r="F23" s="2"/>
    </row>
    <row r="24" spans="1:6">
      <c r="A24" s="2"/>
      <c r="B24" s="2"/>
      <c r="C24" s="2"/>
      <c r="D24" s="2" t="s">
        <v>169</v>
      </c>
      <c r="E24" s="4">
        <v>27000</v>
      </c>
      <c r="F24" s="2"/>
    </row>
    <row r="25" spans="1:6">
      <c r="A25" s="2"/>
      <c r="B25" s="2"/>
      <c r="C25" s="2"/>
      <c r="D25" s="2" t="s">
        <v>170</v>
      </c>
      <c r="E25" s="4">
        <v>-42000</v>
      </c>
      <c r="F25" s="2"/>
    </row>
    <row r="26" spans="1:6">
      <c r="A26" s="2"/>
      <c r="B26" s="2"/>
      <c r="C26" s="2"/>
      <c r="D26" s="2" t="s">
        <v>171</v>
      </c>
      <c r="E26" s="4">
        <v>4200</v>
      </c>
      <c r="F26" s="2"/>
    </row>
    <row r="27" spans="1:6">
      <c r="A27" s="2"/>
      <c r="B27" s="2"/>
      <c r="C27" s="2"/>
      <c r="D27" s="2" t="s">
        <v>172</v>
      </c>
      <c r="E27" s="4">
        <v>1000</v>
      </c>
      <c r="F27" s="2"/>
    </row>
    <row r="28" spans="1:6">
      <c r="A28" s="2"/>
      <c r="B28" s="2"/>
      <c r="C28" s="2"/>
      <c r="D28" s="2" t="s">
        <v>173</v>
      </c>
      <c r="E28" s="5">
        <f>SUM(E23:E27)</f>
        <v>627605</v>
      </c>
      <c r="F2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Slides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Rekap belanja</vt:lpstr>
      <vt:lpstr>Rencana</vt:lpstr>
      <vt:lpstr>BSC</vt:lpstr>
      <vt:lpstr>ESU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margabudi</dc:creator>
  <cp:lastModifiedBy>MM</cp:lastModifiedBy>
  <dcterms:created xsi:type="dcterms:W3CDTF">2026-07-23T03:27:00Z</dcterms:created>
  <dcterms:modified xsi:type="dcterms:W3CDTF">2026-07-30T16:32:04Z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144E4B633E74A7F3E862606A6C469971_41</vt:lpwstr>
  </property>
  <property fmtid="{D5CDD505-2E9C-101B-9397-08002B2CF9AE}" pid="3" name="KSOProductBuildVer">
    <vt:lpwstr>1033-6.13.1.8709</vt:lpwstr>
  </property>
</Properties>
</file>