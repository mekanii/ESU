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460" windowHeight="15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<sst xmlns="http://schemas.openxmlformats.org/spreadsheetml/2006/main" count="53" uniqueCount="37">
  <si>
    <t>#</t>
  </si>
  <si>
    <t>Item</t>
  </si>
  <si>
    <t>Jumlah</t>
  </si>
  <si>
    <t>Harga</t>
  </si>
  <si>
    <t>Total Harga</t>
  </si>
  <si>
    <t>Resistor 5.1kΩ 0805  ±1% 125mW - 10 Buah</t>
  </si>
  <si>
    <t>Lisu Instruments</t>
  </si>
  <si>
    <t>Transistor BCX56 NPN 80V 1A 500mW hfe=100~250 SOT-89-3</t>
  </si>
  <si>
    <t>Capacitor 22pF ±5% 250V NP0 0805 2012(mm) - 10 Buah</t>
  </si>
  <si>
    <t>IC Unidirectional ESD Protection for USB 2.0 USBLC6-2 5A 17V 6V UL26 SOT-23-6</t>
  </si>
  <si>
    <t>Resistor 22Ω 0805 ±1% 125mW - 10 Buah</t>
  </si>
  <si>
    <t>Rectifier Schottky SS36 60V 3A SMA</t>
  </si>
  <si>
    <t>Capacitor 1uF ±10% 25V X7R 0805 - 5 Buah</t>
  </si>
  <si>
    <t>Diode Schottky SS32 20V 3A SMA/DO-214AC</t>
  </si>
  <si>
    <t>SMD LED Ultra Bright 1206 - Merah</t>
  </si>
  <si>
    <t>Resistor 220Ω 1206  ±1%  250mW - 10 Buah</t>
  </si>
  <si>
    <t>IC Optoisolator PC817C</t>
  </si>
  <si>
    <t>Resistor 10kΩ 0805 ±1% 125mW - 10 Buah</t>
  </si>
  <si>
    <t>Capacitor 100nF ±10% 100V X7R 0805 - 10 Buah</t>
  </si>
  <si>
    <t>Solid Capasitor 680uF 35v 10x10</t>
  </si>
  <si>
    <t>SIKIL GANGSAL</t>
  </si>
  <si>
    <t>Solid Capasitor 100uF 50v 10x10</t>
  </si>
  <si>
    <t>IC Regulator Switching LM2576S-3.3 TO-263-5 - 4pcs</t>
  </si>
  <si>
    <t>StarElektro</t>
  </si>
  <si>
    <t>IC Regulator Switching LM2576S-5 TO-263-5 - 4pcs</t>
  </si>
  <si>
    <t>IC Regulator Switching LM2576S-12 TO-263-5 - 4pcs</t>
  </si>
  <si>
    <t>Capacitor Tantalum 22uF 10V 3528</t>
  </si>
  <si>
    <t>Putra Niaga Elektronik</t>
  </si>
  <si>
    <t>Relay Omron 5V G5V-1</t>
  </si>
  <si>
    <t>ESP32-S3-WROOM-1U</t>
  </si>
  <si>
    <t>KHURS IOT</t>
  </si>
  <si>
    <t>SubTotal Harga Item</t>
  </si>
  <si>
    <t>Ongkir</t>
  </si>
  <si>
    <t>Diskon</t>
  </si>
  <si>
    <t>Asuransi Pengiriman</t>
  </si>
  <si>
    <t>Layanan Tokopedia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</si>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</sst>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178" fontId="0" fillId="0" borderId="0" xfId="1" applyNumberFormat="1">
      <alignment vertical="center"/>
    </xf>
    <xf numFmtId="178" fontId="0" fillId="0" borderId="0" xfId="0" applyNumberFormat="1">
      <alignment vertical="center"/>
    </xf>
    <xf numFmtId="178" fontId="1" fillId="0" borderId="0" xfId="0" applyNumberFormat="1" applyFont="1">
      <alignment vertical="center"/>
    </xf>
    <xf numFmtId="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tabSelected="1" workbookViewId="0">
      <selection activeCell="H8" sqref="H8"/>
    </sheetView>
  </sheetViews>
  <sheetFormatPr defaultColWidth="9" defaultRowHeight="16.8" outlineLevelCol="5"/>
  <cols>
    <col min="2" max="2" width="92.625" customWidth="1"/>
    <col min="4" max="4" width="18.375" customWidth="1"/>
    <col min="5" max="5" width="12.75"/>
    <col min="6" max="6" width="19.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>
      <c r="A2">
        <v>1</v>
      </c>
      <c r="B2" t="s">
        <v>5</v>
      </c>
      <c r="C2" s="2">
        <v>5</v>
      </c>
      <c r="D2" s="2">
        <v>1250</v>
      </c>
      <c r="E2" s="2">
        <f t="shared" ref="E2:E21" si="0">C2*D2</f>
        <v>6250</v>
      </c>
      <c r="F2" t="s">
        <v>6</v>
      </c>
    </row>
    <row r="3" spans="1:6">
      <c r="A3">
        <v>2</v>
      </c>
      <c r="B3" t="s">
        <v>7</v>
      </c>
      <c r="C3" s="2">
        <v>5</v>
      </c>
      <c r="D3" s="2">
        <v>1399</v>
      </c>
      <c r="E3" s="2">
        <f t="shared" si="0"/>
        <v>6995</v>
      </c>
      <c r="F3" t="s">
        <v>6</v>
      </c>
    </row>
    <row r="4" spans="1:6">
      <c r="A4">
        <v>3</v>
      </c>
      <c r="B4" t="s">
        <v>8</v>
      </c>
      <c r="C4" s="2">
        <v>5</v>
      </c>
      <c r="D4" s="2">
        <v>1990</v>
      </c>
      <c r="E4" s="2">
        <f t="shared" si="0"/>
        <v>9950</v>
      </c>
      <c r="F4" t="s">
        <v>6</v>
      </c>
    </row>
    <row r="5" spans="1:6">
      <c r="A5">
        <v>4</v>
      </c>
      <c r="B5" t="s">
        <v>9</v>
      </c>
      <c r="C5" s="2">
        <v>4</v>
      </c>
      <c r="D5" s="2">
        <v>4041</v>
      </c>
      <c r="E5" s="2">
        <f t="shared" si="0"/>
        <v>16164</v>
      </c>
      <c r="F5" t="s">
        <v>6</v>
      </c>
    </row>
    <row r="6" spans="1:6">
      <c r="A6">
        <v>5</v>
      </c>
      <c r="B6" t="s">
        <v>10</v>
      </c>
      <c r="C6" s="2">
        <v>5</v>
      </c>
      <c r="D6" s="2">
        <v>1250</v>
      </c>
      <c r="E6" s="2">
        <f t="shared" si="0"/>
        <v>6250</v>
      </c>
      <c r="F6" t="s">
        <v>6</v>
      </c>
    </row>
    <row r="7" spans="1:6">
      <c r="A7">
        <v>6</v>
      </c>
      <c r="B7" t="s">
        <v>11</v>
      </c>
      <c r="C7" s="2">
        <v>10</v>
      </c>
      <c r="D7" s="2">
        <v>499</v>
      </c>
      <c r="E7" s="2">
        <f t="shared" si="0"/>
        <v>4990</v>
      </c>
      <c r="F7" t="s">
        <v>6</v>
      </c>
    </row>
    <row r="8" spans="1:6">
      <c r="A8">
        <v>7</v>
      </c>
      <c r="B8" t="s">
        <v>12</v>
      </c>
      <c r="C8" s="2">
        <v>6</v>
      </c>
      <c r="D8" s="2">
        <v>1676</v>
      </c>
      <c r="E8" s="2">
        <f t="shared" si="0"/>
        <v>10056</v>
      </c>
      <c r="F8" t="s">
        <v>6</v>
      </c>
    </row>
    <row r="9" spans="1:6">
      <c r="A9">
        <v>8</v>
      </c>
      <c r="B9" t="s">
        <v>13</v>
      </c>
      <c r="C9" s="2">
        <v>10</v>
      </c>
      <c r="D9" s="2">
        <v>799</v>
      </c>
      <c r="E9" s="2">
        <f t="shared" si="0"/>
        <v>7990</v>
      </c>
      <c r="F9" t="s">
        <v>6</v>
      </c>
    </row>
    <row r="10" spans="1:6">
      <c r="A10">
        <v>9</v>
      </c>
      <c r="B10" t="s">
        <v>14</v>
      </c>
      <c r="C10" s="2">
        <v>20</v>
      </c>
      <c r="D10" s="2">
        <v>175</v>
      </c>
      <c r="E10" s="2">
        <f t="shared" si="0"/>
        <v>3500</v>
      </c>
      <c r="F10" t="s">
        <v>6</v>
      </c>
    </row>
    <row r="11" spans="1:6">
      <c r="A11">
        <v>10</v>
      </c>
      <c r="B11" t="s">
        <v>15</v>
      </c>
      <c r="C11" s="2">
        <v>5</v>
      </c>
      <c r="D11" s="2">
        <v>1250</v>
      </c>
      <c r="E11" s="2">
        <f t="shared" si="0"/>
        <v>6250</v>
      </c>
      <c r="F11" t="s">
        <v>6</v>
      </c>
    </row>
    <row r="12" spans="1:6">
      <c r="A12">
        <v>11</v>
      </c>
      <c r="B12" t="s">
        <v>16</v>
      </c>
      <c r="C12" s="2">
        <v>10</v>
      </c>
      <c r="D12" s="2">
        <v>1101</v>
      </c>
      <c r="E12" s="2">
        <f t="shared" si="0"/>
        <v>11010</v>
      </c>
      <c r="F12" t="s">
        <v>6</v>
      </c>
    </row>
    <row r="13" spans="1:6">
      <c r="A13">
        <v>12</v>
      </c>
      <c r="B13" t="s">
        <v>17</v>
      </c>
      <c r="C13" s="2">
        <v>5</v>
      </c>
      <c r="D13" s="2">
        <v>1250</v>
      </c>
      <c r="E13" s="2">
        <f t="shared" si="0"/>
        <v>6250</v>
      </c>
      <c r="F13" t="s">
        <v>6</v>
      </c>
    </row>
    <row r="14" spans="1:6">
      <c r="A14">
        <v>13</v>
      </c>
      <c r="B14" t="s">
        <v>18</v>
      </c>
      <c r="C14" s="2">
        <v>3</v>
      </c>
      <c r="D14" s="2">
        <v>2750</v>
      </c>
      <c r="E14" s="2">
        <f t="shared" si="0"/>
        <v>8250</v>
      </c>
      <c r="F14" t="s">
        <v>6</v>
      </c>
    </row>
    <row r="15" spans="1:6">
      <c r="A15">
        <v>14</v>
      </c>
      <c r="B15" t="s">
        <v>19</v>
      </c>
      <c r="C15">
        <v>6</v>
      </c>
      <c r="D15" s="2">
        <v>15000</v>
      </c>
      <c r="E15" s="2">
        <f t="shared" si="0"/>
        <v>90000</v>
      </c>
      <c r="F15" t="s">
        <v>20</v>
      </c>
    </row>
    <row r="16" spans="1:6">
      <c r="A16">
        <v>15</v>
      </c>
      <c r="B16" t="s">
        <v>21</v>
      </c>
      <c r="C16">
        <v>6</v>
      </c>
      <c r="D16" s="2">
        <v>3500</v>
      </c>
      <c r="E16" s="2">
        <f t="shared" si="0"/>
        <v>21000</v>
      </c>
      <c r="F16" t="s">
        <v>20</v>
      </c>
    </row>
    <row r="17" spans="1:6">
      <c r="A17">
        <v>16</v>
      </c>
      <c r="B17" t="s">
        <v>22</v>
      </c>
      <c r="C17">
        <v>1</v>
      </c>
      <c r="D17" s="2">
        <v>40000</v>
      </c>
      <c r="E17" s="2">
        <f t="shared" si="0"/>
        <v>40000</v>
      </c>
      <c r="F17" t="s">
        <v>23</v>
      </c>
    </row>
    <row r="18" spans="1:6">
      <c r="A18">
        <v>17</v>
      </c>
      <c r="B18" t="s">
        <v>24</v>
      </c>
      <c r="C18">
        <v>1</v>
      </c>
      <c r="D18" s="2">
        <v>40000</v>
      </c>
      <c r="E18" s="2">
        <f t="shared" si="0"/>
        <v>40000</v>
      </c>
      <c r="F18" t="s">
        <v>23</v>
      </c>
    </row>
    <row r="19" spans="1:6">
      <c r="A19">
        <v>18</v>
      </c>
      <c r="B19" t="s">
        <v>25</v>
      </c>
      <c r="C19">
        <v>1</v>
      </c>
      <c r="D19" s="2">
        <v>60000</v>
      </c>
      <c r="E19" s="2">
        <f t="shared" si="0"/>
        <v>60000</v>
      </c>
      <c r="F19" t="s">
        <v>23</v>
      </c>
    </row>
    <row r="20" spans="1:6">
      <c r="A20">
        <v>19</v>
      </c>
      <c r="B20" t="s">
        <v>26</v>
      </c>
      <c r="C20">
        <v>5</v>
      </c>
      <c r="D20" s="2">
        <v>2500</v>
      </c>
      <c r="E20" s="2">
        <f t="shared" si="0"/>
        <v>12500</v>
      </c>
      <c r="F20" t="s">
        <v>27</v>
      </c>
    </row>
    <row r="21" spans="1:6">
      <c r="A21">
        <v>20</v>
      </c>
      <c r="B21" t="s">
        <v>28</v>
      </c>
      <c r="C21">
        <v>2</v>
      </c>
      <c r="D21" s="2">
        <v>15000</v>
      </c>
      <c r="E21" s="2">
        <f t="shared" si="0"/>
        <v>30000</v>
      </c>
      <c r="F21" t="s">
        <v>27</v>
      </c>
    </row>
    <row r="22" spans="1:6">
      <c r="A22">
        <v>21</v>
      </c>
      <c r="B22" t="s">
        <v>29</v>
      </c>
      <c r="C22">
        <v>2</v>
      </c>
      <c r="D22" s="2">
        <v>120000</v>
      </c>
      <c r="E22" s="2">
        <v>240000</v>
      </c>
      <c r="F22" t="s">
        <v>30</v>
      </c>
    </row>
    <row r="23" spans="4:5">
      <c r="D23" t="s">
        <v>31</v>
      </c>
      <c r="E23" s="3">
        <f>SUM(E2:E22)</f>
        <v>637405</v>
      </c>
    </row>
    <row r="24" spans="4:5">
      <c r="D24" t="s">
        <v>32</v>
      </c>
      <c r="E24" s="3">
        <v>27000</v>
      </c>
    </row>
    <row r="25" spans="4:5">
      <c r="D25" t="s">
        <v>33</v>
      </c>
      <c r="E25" s="3">
        <v>-42000</v>
      </c>
    </row>
    <row r="26" spans="4:5">
      <c r="D26" t="s">
        <v>34</v>
      </c>
      <c r="E26" s="3">
        <v>4200</v>
      </c>
    </row>
    <row r="27" spans="4:5">
      <c r="D27" t="s">
        <v>35</v>
      </c>
      <c r="E27" s="3">
        <v>1000</v>
      </c>
    </row>
    <row r="28" spans="4:5">
      <c r="D28" t="s">
        <v>36</v>
      </c>
      <c r="E28" s="4">
        <f>SUM(E23:E27)</f>
        <v>627605</v>
      </c>
    </row>
    <row r="33" spans="5:6">
      <c r="E33" s="5"/>
      <c r="F33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margabudi</dc:creator>
  <cp:lastModifiedBy>MM</cp:lastModifiedBy>
  <dcterms:created xsi:type="dcterms:W3CDTF">2026-02-09T10:31:13Z</dcterms:created>
  <dcterms:modified xsi:type="dcterms:W3CDTF">2026-02-09T11:03:51Z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138A818A06744F49015589690F353A5E_41</vt:lpwstr>
  </property>
  <property fmtid="{D5CDD505-2E9C-101B-9397-08002B2CF9AE}" pid="3" name="KSOProductBuildVer">
    <vt:lpwstr>1033-6.13.1.8709</vt:lpwstr>
  </property>
</Properties>
</file>