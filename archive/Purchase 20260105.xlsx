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32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<sst xmlns="http://schemas.openxmlformats.org/spreadsheetml/2006/main" count="108" uniqueCount="94">
  <si>
    <t>TOOLS</t>
  </si>
  <si>
    <t>#</t>
  </si>
  <si>
    <t>Item</t>
  </si>
  <si>
    <t>Jumlah</t>
  </si>
  <si>
    <t>Harga</t>
  </si>
  <si>
    <t>Single Phase AC Monitor D52-2066</t>
  </si>
  <si>
    <t>https://www.tokopedia.com/electricalhome/meteran-listrik-digital-display-din-rail-single-phase-multi-function-digital-meter-d52-2066-1731124618970367511?extParam=ivf%3Dfalse%26keyword%3Dsingle+phase+ac+monitor+d52-2066%26search_id%3D2026012309023194F6D7E04A4D453BFDR7%26src%3Dsearch</t>
  </si>
  <si>
    <t>AKSESORIS BOX ESU</t>
  </si>
  <si>
    <t>EMI Filter CW2A-10A-T</t>
  </si>
  <si>
    <t>https://www.tokopedia.com/awallaptop/emi-filter-10a-220v-filter-listrik-ac-220v-box-filter-power-psu-cw2a-10a-t-52307</t>
  </si>
  <si>
    <t>Connector WS16 4 Pin</t>
  </si>
  <si>
    <t>https://www.tokopedia.com/nnaudio/ws16-konektor-4-pin-plug-n-socket-ip67-ip68-ws16-4-pin</t>
  </si>
  <si>
    <t>Flat Cable FFC/FPC-10P 1.0mm 40cm</t>
  </si>
  <si>
    <t>https://www.tokopedia.com/mcsum/kabel-flexible-ffc-fpc-pitch-1-0mm-10-pin-lebar-11mm-bolak-balik-40-cm</t>
  </si>
  <si>
    <t>Flat Cable FFC/FPC-10P 1.0mm 30cm</t>
  </si>
  <si>
    <t>https://www.tokopedia.com/mcsum/kabel-flexible-ffc-fpc-pitch-1-0mm-10-pin-lebar-11mm-bolak-balik-30-cm</t>
  </si>
  <si>
    <t>Connector FFC/FPC-10P 1.0mm Clam Shell</t>
  </si>
  <si>
    <t>https://www.tokopedia.com/mcsum/soket-konektor-flexi-ffc-fpc-10-pin-pitch-1-0mm-lebar-11mm-clamshell</t>
  </si>
  <si>
    <t>Connector_Molex:Molex_KK-396_5273-05A (Full set)</t>
  </si>
  <si>
    <t>https://www.tokopedia.com/s3-satriasecure/5-pin-1set-socket-3-96mm-besar-molex-5p-ch-3-96mm-header-5-pin-kaki-kabel-soket-molek-3-96mm-header-5pin-konektor-5kaki-3-96-mm-3-96-konektor-terminal-5p-connector-5-p-kaki-5pin-konector-conektor-5kaki-5lubang-5-lubang-jalur-5jalur-1731323178157442852</t>
  </si>
  <si>
    <t>Connector_Molex:Molex_KK-396_5273-04A (Full set)</t>
  </si>
  <si>
    <t>https://www.tokopedia.com/s3-satriasecure/4-pin-1set-socket-3-96mm-besar-molex-4p-ch-3-96mm-header-terminal-4-pin-kaki-kabel-soket-molek-3-96mm-header-4pin-konektor-4kaki-3-96-mm-3-96</t>
  </si>
  <si>
    <t>Connector_Molex:Molex_KK-396_5273-03A (Full set)</t>
  </si>
  <si>
    <t>https://www.tokopedia.com/s3-satriasecure/3-pin-1set-socket-3-96mm-besar-molex-3p-ch-3-96mm-header-3-pin-kaki-kabel-soket-molek-3-96mm-header-3pin-konektor-3kaki-3-96-mm-3-96-konektor-terminal-kabel-3p-3-pin-connector-3-p-kaki-3pin-konector-conektor-3kaki-3lubang-3-lubang-jalur-3jalur-1731323195727185700</t>
  </si>
  <si>
    <t>Speaker 10W 4Ω Fullrange</t>
  </si>
  <si>
    <t>https://www.tokopedia.com/awallaptop/speaker-tv-radio-fullrange-neodymium-audiophile-10w-4ohm-1731947875613181721</t>
  </si>
  <si>
    <t>KOMPONEN KONTROLER ESU</t>
  </si>
  <si>
    <t>ESP32-S3-WROOM-1U N16R8</t>
  </si>
  <si>
    <t>https://www.tokopedia.com/khurs-iot/esp32-s3-n16r8-original-espressif-chip-wroom-16mb-flash-8mb-psram-esp32s3-aiot-1732588326836012264</t>
  </si>
  <si>
    <t>CD4071BCM</t>
  </si>
  <si>
    <t>https://www.tokopedia.com/smgjayatronik/cd4071bcm-cd4071-smd-ic-4071</t>
  </si>
  <si>
    <t>PC817C</t>
  </si>
  <si>
    <t>https://www.tokopedia.com/lisuinstrument/pc817c-optoisolator-photo-transistor-photocoupler-pc817-c517-dip-4-ctk-elketronic-1733359306644686309?extParam=src%3Dshop%26whid%3D580205&amp;aff_unique_id=&amp;channel=others&amp;chain_key=</t>
  </si>
  <si>
    <t>LM2576S-3.3</t>
  </si>
  <si>
    <t>https://www.tokopedia.com/starelektro-1/lm2576s-lm2576hvs-adj-3-3-5-0-12-ic-regulator-switching-smd-to-263-5-4pcs-3-3volt-406d1</t>
  </si>
  <si>
    <t>LM2576S-5</t>
  </si>
  <si>
    <t>https://www.tokopedia.com/starelektro-1/lm2576s-lm2576hvs-adj-3-3-5-0-12-ic-regulator-switching-smd-to-263-5-4pcs-5volt-61057</t>
  </si>
  <si>
    <t>LM2576S-12</t>
  </si>
  <si>
    <t>https://www.tokopedia.com/starelektro-1/lm2576s-lm2576hvs-adj-3-3-5-0-12-ic-regulator-switching-smd-to-263-5-4pcs-12volt-cfe9f</t>
  </si>
  <si>
    <t>USBLC6-2SC6</t>
  </si>
  <si>
    <t>https://www.tokopedia.com/lisuinstrument/usblc6-2-5a-17v-6v-unidirectional-esd-protection-for-usb-2-0-ul26-sot-23-6-stmicroelectronics-1731681111314040293?extParam=src%3Dshop%26whid%3D580205&amp;aff_unique_id=&amp;channel=others&amp;chain_key=</t>
  </si>
  <si>
    <t>R 22 0805 1%</t>
  </si>
  <si>
    <t>https://www.tokopedia.com/lisuinstrument/22-0805-1-smd-thick-film-resistor-22r0-22r-er-1731886846065739237?extParam=src%3Dshop%26whid%3D580205&amp;aff_unique_id=&amp;channel=others&amp;chain_key=</t>
  </si>
  <si>
    <t>R 5.1k 0805 1%</t>
  </si>
  <si>
    <t>https://www.tokopedia.com/lisuinstrument/5-1k-0805-1-125mw-150v-100ppm-thick-resistor-5-1k-5k1-5101-rs-05k5101ft-fenghua-1732465149003138533?extParam=src%3Dshop%26whid%3D580205&amp;aff_unique_id=&amp;channel=others&amp;chain_key=</t>
  </si>
  <si>
    <t>R 10k 0805 1%</t>
  </si>
  <si>
    <t>https://www.tokopedia.com/lisuinstrument/10k-0805-1-smd-thick-resistor-10k-1002-rc0805fr-0710kl-yageo-1732465271970891237?extParam=src%3Dshop%26whid%3D580205&amp;aff_unique_id=&amp;channel=others&amp;chain_key=</t>
  </si>
  <si>
    <t>C 100nF 50V 0805 X7R 10%</t>
  </si>
  <si>
    <t>https://www.tokopedia.com/lisuinstrument/100nf-10-100v-x7r-0805-2012-mm-smd-ceramic-capacitor-yageo-1733217374783571429?extParam=src%3Dshop%26whid%3D580205&amp;aff_unique_id=&amp;channel=others&amp;chain_key=</t>
  </si>
  <si>
    <t>C 1µF 25V 0805 X7R 10%</t>
  </si>
  <si>
    <t>https://www.tokopedia.com/lisuinstrument/1uf-10-25v-x7r-0805-smd-capacitor-mlcc-samsung-cl21b105kafnnne-1729922310910150117?extParam=src%3Dshop%26whid%3D580205&amp;aff_unique_id=&amp;channel=others&amp;chain_key=</t>
  </si>
  <si>
    <t>C 22pF 50V C0G 5%</t>
  </si>
  <si>
    <t>https://www.tokopedia.com/lisuinstrument/22pf-5-250v-np0-0805-2012-mm-smd-capacitor-cctc-tcc0805cog220j251bt-1734090887104923109?extParam=src%3Dshop%26whid%3D580205&amp;aff_unique_id=&amp;channel=others&amp;chain_key=</t>
  </si>
  <si>
    <t>C Tantalum 22µF 10V 3528</t>
  </si>
  <si>
    <t>https://www.tokopedia.com/putraniagabdg/tantalum-smd-22uf-10v-kapasitor-22-uf-kode-226-dimensi-3528</t>
  </si>
  <si>
    <t>C 100µF 50V</t>
  </si>
  <si>
    <t>https://www.tokopedia.com/jayenk/solid-kapasitor-capasitor-elko-elco-smd-50v-100uf-50v-100-uf-50-v-50-volt-10x10-original-1731473174923740166</t>
  </si>
  <si>
    <t>C 680µF 35V</t>
  </si>
  <si>
    <t>https://www.tokopedia.com/jayenk/solid-kapasitor-capasitor-elko-elco-smd-35v-680uf-35v-680-uf-35-v-35-volt-vzs-10x10-original-1731473178763494406</t>
  </si>
  <si>
    <t>LED 1206</t>
  </si>
  <si>
    <t>https://www.tokopedia.com/lisuinstrument/1206-smd-led-smt-ultra-bright-berbagai-pilihan-warna-putih?extParam=src%3Dshop%26whid%3D580205&amp;aff_unique_id=&amp;channel=others&amp;chain_key=</t>
  </si>
  <si>
    <t>D SS36 SMA</t>
  </si>
  <si>
    <t>https://www.tokopedia.com/lisuinstrument/ss36-60v-3a-schottky-barrier-rectifier-ss36-sma-ctk-electronics?extParam=whid%3D580205%26src%3Dshop&amp;aff_unique_id=&amp;channel=others&amp;chain_key=</t>
  </si>
  <si>
    <t>D SS32 SMA</t>
  </si>
  <si>
    <t>https://www.tokopedia.com/lisuinstrument/ss32-20v-3a-schottky-barrier-diode-sma-do-214ac-goodwork-original?extParam=src%3Dshop%26whid%3D580205&amp;aff_unique_id=&amp;channel=others&amp;chain_key=</t>
  </si>
  <si>
    <t>BCX56</t>
  </si>
  <si>
    <t>https://www.tokopedia.com/lisuinstrument/bcx56-npn-80v-1a-500mw-hfe-100-250-transistor-bjt-sot-89-3-cj-original?extParam=src%3Dshop%26whid%3D580205&amp;aff_unique_id=&amp;channel=others&amp;chain_key=</t>
  </si>
  <si>
    <t>G5V-1</t>
  </si>
  <si>
    <t>https://www.tokopedia.com/putraniagabdg/relay-omron-5v-g5v-1-g5v1-5-volt-6pin</t>
  </si>
  <si>
    <t>R 220 1207 1%</t>
  </si>
  <si>
    <t>https://www.tokopedia.com/lisuinstrument/220-1206-1-250mw-200v-100ppm-thick-film-resistors-220r-220-2200-rc1206fr-07220rl-yageo-1732963640261379557?extParam=src%3Dshop%26whid%3D580205&amp;aff_unique_id=&amp;channel=others&amp;chain_key=</t>
  </si>
  <si>
    <t>L 100uH CDRH127R</t>
  </si>
  <si>
    <t>https://www.tokopedia.com/ichibot/100uh-cdrh127r-induktor-smd-smt-power-inductor-cdrh-127r-100-uh-1d39</t>
  </si>
  <si>
    <t>PCB CTL</t>
  </si>
  <si>
    <t>Film</t>
  </si>
  <si>
    <t>PCB</t>
  </si>
  <si>
    <t>PCB PS</t>
  </si>
  <si>
    <t>Ongkir</t>
  </si>
  <si>
    <t>Deskripsi</t>
  </si>
  <si>
    <t>Konektor</t>
  </si>
  <si>
    <t>Kabel</t>
  </si>
  <si>
    <t>Komponen</t>
  </si>
  <si>
    <t>Total Bahan</t>
  </si>
  <si>
    <t>Selisih</t>
  </si>
  <si>
    <t>CN1</t>
  </si>
  <si>
    <t>XH2.5 2 + Kabel 22 25 + Heat shrink + DC022</t>
  </si>
  <si>
    <t>CN2</t>
  </si>
  <si>
    <t>XH2.5 2 + Kabel 22 30</t>
  </si>
  <si>
    <t>CN3</t>
  </si>
  <si>
    <t>XH2.5 3 + Kabel 24 25 + Heat shrink + LED</t>
  </si>
  <si>
    <t>CN4</t>
  </si>
  <si>
    <t>XH2.5 2 + Kabel 24 15</t>
  </si>
  <si>
    <t>mirip jasa solder per point untuk PCBA (untuk 5 titik: Soket DC dan LED)</t>
  </si>
  <si>
    <t>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</si>
</sst>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1" applyNumberFormat="1">
      <alignment vertical="center"/>
    </xf>
    <xf numFmtId="178" fontId="1" fillId="0" borderId="0" xfId="1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178" fontId="0" fillId="0" borderId="0" xfId="1" applyNumberFormat="1" applyFill="1">
      <alignment vertical="center"/>
    </xf>
    <xf numFmtId="178" fontId="0" fillId="0" borderId="0" xfId="0" applyNumberFormat="1" applyFill="1">
      <alignment vertical="center"/>
    </xf>
    <xf numFmtId="0" fontId="0" fillId="0" borderId="0" xfId="0" applyFill="1" applyAlignment="1">
      <alignment vertical="center"/>
    </xf>
    <xf numFmtId="178" fontId="0" fillId="0" borderId="0" xfId="1" applyNumberFormat="1" applyFont="1" applyFill="1">
      <alignment vertical="center"/>
    </xf>
    <xf numFmtId="178" fontId="0" fillId="0" borderId="0" xfId="0" applyNumberFormat="1">
      <alignment vertical="center"/>
    </xf>
    <xf numFmtId="0" fontId="2" fillId="0" borderId="0" xfId="6">
      <alignment vertical="center"/>
    </xf>
    <xf numFmtId="17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2600"/>
      <color rgb="00FF9300"/>
      <color rgb="00FFFC00"/>
      <color rgb="0000FA00"/>
      <color rgb="0000FDFF"/>
      <color rgb="000432FF"/>
      <color rgb="00FF40FF"/>
      <color rgb="00942092"/>
      <color rgb="00AB7942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okopedia.com/smgjayatronik/cd4071bcm-cd4071-smd-ic-4071" TargetMode="External"/><Relationship Id="rId8" Type="http://schemas.openxmlformats.org/officeDocument/2006/relationships/hyperlink" Target="https://www.tokopedia.com/s3-satriasecure/3-pin-1set-socket-3-96mm-besar-molex-3p-ch-3-96mm-header-3-pin-kaki-kabel-soket-molek-3-96mm-header-3pin-konektor-3kaki-3-96-mm-3-96-konektor-terminal-kabel-3p-3-pin-connector-3-p-kaki-3pin-konector-conektor-3kaki-3lubang-3-lubang-jalur-3jalur-1731323195727185700" TargetMode="External"/><Relationship Id="rId7" Type="http://schemas.openxmlformats.org/officeDocument/2006/relationships/hyperlink" Target="https://www.tokopedia.com/s3-satriasecure/5-pin-1set-socket-3-96mm-besar-molex-5p-ch-3-96mm-header-5-pin-kaki-kabel-soket-molek-3-96mm-header-5pin-konektor-5kaki-3-96-mm-3-96-konektor-terminal-5p-connector-5-p-kaki-5pin-konector-conektor-5kaki-5lubang-5-lubang-jalur-5jalur-1731323178157442852" TargetMode="External"/><Relationship Id="rId6" Type="http://schemas.openxmlformats.org/officeDocument/2006/relationships/hyperlink" Target="https://www.tokopedia.com/s3-satriasecure/4-pin-1set-socket-3-96mm-besar-molex-4p-ch-3-96mm-header-terminal-4-pin-kaki-kabel-soket-molek-3-96mm-header-4pin-konektor-4kaki-3-96-mm-3-96" TargetMode="External"/><Relationship Id="rId5" Type="http://schemas.openxmlformats.org/officeDocument/2006/relationships/hyperlink" Target="https://www.tokopedia.com/nnaudio/ws16-konektor-4-pin-plug-n-socket-ip67-ip68-ws16-4-pin" TargetMode="External"/><Relationship Id="rId4" Type="http://schemas.openxmlformats.org/officeDocument/2006/relationships/hyperlink" Target="https://www.tokopedia.com/mcsum/kabel-flexible-ffc-fpc-pitch-1-0mm-10-pin-lebar-11mm-bolak-balik-40-cm" TargetMode="External"/><Relationship Id="rId32" Type="http://schemas.openxmlformats.org/officeDocument/2006/relationships/hyperlink" Target="https://www.tokopedia.com/electricalhome/meteran-listrik-digital-display-din-rail-single-phase-multi-function-digital-meter-d52-2066-1731124618970367511?extParam=ivf%3Dfalse%26keyword%3Dsingle+phase+ac+monitor+d52-2066%26search_id%3D2026012309023194F6D7E04A4D453BFDR7%26src%3Dsearch" TargetMode="External"/><Relationship Id="rId31" Type="http://schemas.openxmlformats.org/officeDocument/2006/relationships/hyperlink" Target="https://www.tokopedia.com/ichibot/100uh-cdrh127r-induktor-smd-smt-power-inductor-cdrh-127r-100-uh-1d39" TargetMode="External"/><Relationship Id="rId30" Type="http://schemas.openxmlformats.org/officeDocument/2006/relationships/hyperlink" Target="https://www.tokopedia.com/lisuinstrument/bcx56-npn-80v-1a-500mw-hfe-100-250-transistor-bjt-sot-89-3-cj-original?extParam=src%3Dshop%26whid%3D580205&amp;aff_unique_id=&amp;channel=others&amp;chain_key=" TargetMode="External"/><Relationship Id="rId3" Type="http://schemas.openxmlformats.org/officeDocument/2006/relationships/hyperlink" Target="https://www.tokopedia.com/mcsum/kabel-flexible-ffc-fpc-pitch-1-0mm-10-pin-lebar-11mm-bolak-balik-30-cm" TargetMode="External"/><Relationship Id="rId29" Type="http://schemas.openxmlformats.org/officeDocument/2006/relationships/hyperlink" Target="https://www.tokopedia.com/lisuinstrument/ss32-20v-3a-schottky-barrier-diode-sma-do-214ac-goodwork-original?extParam=src%3Dshop%26whid%3D580205&amp;aff_unique_id=&amp;channel=others&amp;chain_key=" TargetMode="External"/><Relationship Id="rId28" Type="http://schemas.openxmlformats.org/officeDocument/2006/relationships/hyperlink" Target="https://www.tokopedia.com/lisuinstrument/ss36-60v-3a-schottky-barrier-rectifier-ss36-sma-ctk-electronics?extParam=whid%3D580205%26src%3Dshop&amp;aff_unique_id=&amp;channel=others&amp;chain_key=" TargetMode="External"/><Relationship Id="rId27" Type="http://schemas.openxmlformats.org/officeDocument/2006/relationships/hyperlink" Target="https://www.tokopedia.com/lisuinstrument/1206-smd-led-smt-ultra-bright-berbagai-pilihan-warna-putih?extParam=src%3Dshop%26whid%3D580205&amp;aff_unique_id=&amp;channel=others&amp;chain_key=" TargetMode="External"/><Relationship Id="rId26" Type="http://schemas.openxmlformats.org/officeDocument/2006/relationships/hyperlink" Target="https://www.tokopedia.com/lisuinstrument/22pf-5-250v-np0-0805-2012-mm-smd-capacitor-cctc-tcc0805cog220j251bt-1734090887104923109?extParam=src%3Dshop%26whid%3D580205&amp;aff_unique_id=&amp;channel=others&amp;chain_key=" TargetMode="External"/><Relationship Id="rId25" Type="http://schemas.openxmlformats.org/officeDocument/2006/relationships/hyperlink" Target="https://www.tokopedia.com/lisuinstrument/1uf-10-25v-x7r-0805-smd-capacitor-mlcc-samsung-cl21b105kafnnne-1729922310910150117?extParam=src%3Dshop%26whid%3D580205&amp;aff_unique_id=&amp;channel=others&amp;chain_key=" TargetMode="External"/><Relationship Id="rId24" Type="http://schemas.openxmlformats.org/officeDocument/2006/relationships/hyperlink" Target="https://www.tokopedia.com/lisuinstrument/22-0805-1-smd-thick-film-resistor-22r0-22r-er-1731886846065739237?extParam=src%3Dshop%26whid%3D580205&amp;aff_unique_id=&amp;channel=others&amp;chain_key=" TargetMode="External"/><Relationship Id="rId23" Type="http://schemas.openxmlformats.org/officeDocument/2006/relationships/hyperlink" Target="https://www.tokopedia.com/lisuinstrument/220-1206-1-250mw-200v-100ppm-thick-film-resistors-220r-220-2200-rc1206fr-07220rl-yageo-1732963640261379557?extParam=src%3Dshop%26whid%3D580205&amp;aff_unique_id=&amp;channel=others&amp;chain_key=" TargetMode="External"/><Relationship Id="rId22" Type="http://schemas.openxmlformats.org/officeDocument/2006/relationships/hyperlink" Target="https://www.tokopedia.com/lisuinstrument/10k-0805-1-smd-thick-resistor-10k-1002-rc0805fr-0710kl-yageo-1732465271970891237?extParam=src%3Dshop%26whid%3D580205&amp;aff_unique_id=&amp;channel=others&amp;chain_key=" TargetMode="External"/><Relationship Id="rId21" Type="http://schemas.openxmlformats.org/officeDocument/2006/relationships/hyperlink" Target="https://www.tokopedia.com/lisuinstrument/5-1k-0805-1-125mw-150v-100ppm-thick-resistor-5-1k-5k1-5101-rs-05k5101ft-fenghua-1732465149003138533?extParam=src%3Dshop%26whid%3D580205&amp;aff_unique_id=&amp;channel=others&amp;chain_key=" TargetMode="External"/><Relationship Id="rId20" Type="http://schemas.openxmlformats.org/officeDocument/2006/relationships/hyperlink" Target="https://www.tokopedia.com/lisuinstrument/pc817c-optoisolator-photo-transistor-photocoupler-pc817-c517-dip-4-ctk-elketronic-1733359306644686309?extParam=src%3Dshop%26whid%3D580205&amp;aff_unique_id=&amp;channel=others&amp;chain_key=" TargetMode="External"/><Relationship Id="rId2" Type="http://schemas.openxmlformats.org/officeDocument/2006/relationships/hyperlink" Target="https://www.tokopedia.com/mcsum/soket-konektor-flexi-ffc-fpc-10-pin-pitch-1-0mm-lebar-11mm-clamshell" TargetMode="External"/><Relationship Id="rId19" Type="http://schemas.openxmlformats.org/officeDocument/2006/relationships/hyperlink" Target="https://www.tokopedia.com/lisuinstrument/usblc6-2-5a-17v-6v-unidirectional-esd-protection-for-usb-2-0-ul26-sot-23-6-stmicroelectronics-1731681111314040293?extParam=src%3Dshop%26whid%3D580205&amp;aff_unique_id=&amp;channel=others&amp;chain_key=" TargetMode="External"/><Relationship Id="rId18" Type="http://schemas.openxmlformats.org/officeDocument/2006/relationships/hyperlink" Target="https://www.tokopedia.com/jayenk/solid-kapasitor-capasitor-elko-elco-smd-50v-100uf-50v-100-uf-50-v-50-volt-10x10-original-1731473174923740166" TargetMode="External"/><Relationship Id="rId17" Type="http://schemas.openxmlformats.org/officeDocument/2006/relationships/hyperlink" Target="https://www.tokopedia.com/jayenk/solid-kapasitor-capasitor-elko-elco-smd-35v-680uf-35v-680-uf-35-v-35-volt-vzs-10x10-original-1731473178763494406" TargetMode="External"/><Relationship Id="rId16" Type="http://schemas.openxmlformats.org/officeDocument/2006/relationships/hyperlink" Target="https://www.tokopedia.com/starelektro-1/lm2576s-lm2576hvs-adj-3-3-5-0-12-ic-regulator-switching-smd-to-263-5-4pcs-12volt-cfe9f" TargetMode="External"/><Relationship Id="rId15" Type="http://schemas.openxmlformats.org/officeDocument/2006/relationships/hyperlink" Target="https://www.tokopedia.com/starelektro-1/lm2576s-lm2576hvs-adj-3-3-5-0-12-ic-regulator-switching-smd-to-263-5-4pcs-3-3volt-406d1" TargetMode="External"/><Relationship Id="rId14" Type="http://schemas.openxmlformats.org/officeDocument/2006/relationships/hyperlink" Target="https://www.tokopedia.com/starelektro-1/lm2576s-lm2576hvs-adj-3-3-5-0-12-ic-regulator-switching-smd-to-263-5-4pcs-5volt-61057" TargetMode="External"/><Relationship Id="rId13" Type="http://schemas.openxmlformats.org/officeDocument/2006/relationships/hyperlink" Target="https://www.tokopedia.com/awallaptop/speaker-tv-radio-fullrange-neodymium-audiophile-10w-4ohm-1731947875613181721" TargetMode="External"/><Relationship Id="rId12" Type="http://schemas.openxmlformats.org/officeDocument/2006/relationships/hyperlink" Target="https://www.tokopedia.com/awallaptop/emi-filter-10a-220v-filter-listrik-ac-220v-box-filter-power-psu-cw2a-10a-t-52307" TargetMode="External"/><Relationship Id="rId11" Type="http://schemas.openxmlformats.org/officeDocument/2006/relationships/hyperlink" Target="https://www.tokopedia.com/putraniagabdg/relay-omron-5v-g5v-1-g5v1-5-volt-6pin" TargetMode="External"/><Relationship Id="rId10" Type="http://schemas.openxmlformats.org/officeDocument/2006/relationships/hyperlink" Target="https://www.tokopedia.com/putraniagabdg/tantalum-smd-22uf-10v-kapasitor-22-uf-kode-226-dimensi-3528" TargetMode="External"/><Relationship Id="rId1" Type="http://schemas.openxmlformats.org/officeDocument/2006/relationships/hyperlink" Target="https://www.tokopedia.com/khurs-iot/esp32-s3-n16r8-original-espressif-chip-wroom-16mb-flash-8mb-psram-esp32s3-aiot-17325883268360122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zoomScale="115" zoomScaleNormal="115" topLeftCell="A36" workbookViewId="0">
      <selection activeCell="E51" sqref="E51"/>
    </sheetView>
  </sheetViews>
  <sheetFormatPr defaultColWidth="9" defaultRowHeight="16.8" outlineLevelCol="6"/>
  <cols>
    <col min="2" max="2" width="46.75" customWidth="1"/>
    <col min="4" max="4" width="11.6875"/>
  </cols>
  <sheetData>
    <row r="1" s="1" customFormat="1" spans="1:1">
      <c r="A1" s="1" t="s">
        <v>0</v>
      </c>
    </row>
    <row r="2" s="1" customFormat="1" spans="1:4">
      <c r="A2" s="1" t="s">
        <v>1</v>
      </c>
      <c r="B2" s="1" t="s">
        <v>2</v>
      </c>
      <c r="C2" s="1" t="s">
        <v>3</v>
      </c>
      <c r="D2" s="1" t="s">
        <v>4</v>
      </c>
    </row>
    <row r="3" spans="2:7">
      <c r="B3" t="s">
        <v>5</v>
      </c>
      <c r="C3" s="2">
        <v>1</v>
      </c>
      <c r="D3" s="2">
        <v>108000</v>
      </c>
      <c r="G3" s="11" t="s">
        <v>6</v>
      </c>
    </row>
    <row r="7" s="1" customFormat="1" spans="1:1">
      <c r="A7" s="1" t="s">
        <v>7</v>
      </c>
    </row>
    <row r="8" s="1" customFormat="1" spans="1:5">
      <c r="A8" s="1" t="s">
        <v>1</v>
      </c>
      <c r="B8" s="1" t="s">
        <v>2</v>
      </c>
      <c r="C8" s="1" t="s">
        <v>3</v>
      </c>
      <c r="D8" s="1" t="s">
        <v>4</v>
      </c>
      <c r="E8" s="12">
        <f>SUM(E9:E17)</f>
        <v>484800</v>
      </c>
    </row>
    <row r="9" spans="2:7">
      <c r="B9" t="s">
        <v>8</v>
      </c>
      <c r="C9" s="2">
        <v>1</v>
      </c>
      <c r="D9" s="2">
        <v>98000</v>
      </c>
      <c r="E9" s="10">
        <f t="shared" ref="E9:E17" si="0">C9*D9</f>
        <v>98000</v>
      </c>
      <c r="G9" s="11" t="s">
        <v>9</v>
      </c>
    </row>
    <row r="10" spans="2:7">
      <c r="B10" t="s">
        <v>10</v>
      </c>
      <c r="C10" s="2">
        <v>1</v>
      </c>
      <c r="D10" s="2">
        <v>198500</v>
      </c>
      <c r="E10" s="10">
        <f t="shared" si="0"/>
        <v>198500</v>
      </c>
      <c r="G10" s="11" t="s">
        <v>11</v>
      </c>
    </row>
    <row r="11" spans="2:7">
      <c r="B11" t="s">
        <v>12</v>
      </c>
      <c r="C11" s="2">
        <v>1</v>
      </c>
      <c r="D11" s="2">
        <v>32000</v>
      </c>
      <c r="E11" s="10">
        <f t="shared" si="0"/>
        <v>32000</v>
      </c>
      <c r="G11" s="11" t="s">
        <v>13</v>
      </c>
    </row>
    <row r="12" spans="2:7">
      <c r="B12" t="s">
        <v>14</v>
      </c>
      <c r="C12" s="2">
        <v>1</v>
      </c>
      <c r="D12" s="2">
        <v>26000</v>
      </c>
      <c r="E12" s="10">
        <f t="shared" si="0"/>
        <v>26000</v>
      </c>
      <c r="G12" s="11" t="s">
        <v>15</v>
      </c>
    </row>
    <row r="13" spans="2:7">
      <c r="B13" t="s">
        <v>16</v>
      </c>
      <c r="C13" s="2">
        <v>4</v>
      </c>
      <c r="D13" s="2">
        <v>12500</v>
      </c>
      <c r="E13" s="10">
        <f t="shared" si="0"/>
        <v>50000</v>
      </c>
      <c r="G13" s="11" t="s">
        <v>17</v>
      </c>
    </row>
    <row r="14" spans="2:7">
      <c r="B14" t="s">
        <v>18</v>
      </c>
      <c r="C14" s="2">
        <v>2</v>
      </c>
      <c r="D14" s="2">
        <v>6250</v>
      </c>
      <c r="E14" s="10">
        <f t="shared" si="0"/>
        <v>12500</v>
      </c>
      <c r="G14" s="11" t="s">
        <v>19</v>
      </c>
    </row>
    <row r="15" spans="2:7">
      <c r="B15" t="s">
        <v>20</v>
      </c>
      <c r="C15" s="2">
        <v>4</v>
      </c>
      <c r="D15" s="2">
        <v>5400</v>
      </c>
      <c r="E15" s="10">
        <f t="shared" si="0"/>
        <v>21600</v>
      </c>
      <c r="G15" s="11" t="s">
        <v>21</v>
      </c>
    </row>
    <row r="16" spans="2:7">
      <c r="B16" t="s">
        <v>22</v>
      </c>
      <c r="C16" s="2">
        <v>4</v>
      </c>
      <c r="D16" s="2">
        <v>4550</v>
      </c>
      <c r="E16" s="10">
        <f t="shared" si="0"/>
        <v>18200</v>
      </c>
      <c r="G16" s="11" t="s">
        <v>23</v>
      </c>
    </row>
    <row r="17" spans="2:7">
      <c r="B17" t="s">
        <v>24</v>
      </c>
      <c r="C17" s="2">
        <v>1</v>
      </c>
      <c r="D17" s="2">
        <v>28000</v>
      </c>
      <c r="E17" s="10">
        <f t="shared" si="0"/>
        <v>28000</v>
      </c>
      <c r="G17" s="11" t="s">
        <v>25</v>
      </c>
    </row>
    <row r="18" spans="3:5">
      <c r="C18" s="2"/>
      <c r="D18" s="2"/>
      <c r="E18" s="10"/>
    </row>
    <row r="19" spans="3:5">
      <c r="C19" s="2"/>
      <c r="D19" s="2"/>
      <c r="E19" s="10"/>
    </row>
    <row r="20" spans="1:1">
      <c r="A20" s="1" t="s">
        <v>26</v>
      </c>
    </row>
    <row r="21" spans="1:5">
      <c r="A21" s="1" t="s">
        <v>1</v>
      </c>
      <c r="B21" s="1" t="s">
        <v>2</v>
      </c>
      <c r="C21" s="1" t="s">
        <v>3</v>
      </c>
      <c r="D21" s="1" t="s">
        <v>4</v>
      </c>
      <c r="E21" s="12">
        <f>SUM(E22:E44)</f>
        <v>680227</v>
      </c>
    </row>
    <row r="22" spans="2:7">
      <c r="B22" s="5" t="s">
        <v>27</v>
      </c>
      <c r="C22" s="6">
        <v>2</v>
      </c>
      <c r="D22" s="6">
        <v>120000</v>
      </c>
      <c r="E22" s="7">
        <f>C22*D22</f>
        <v>240000</v>
      </c>
      <c r="G22" s="11" t="s">
        <v>28</v>
      </c>
    </row>
    <row r="23" spans="2:7">
      <c r="B23" s="5" t="s">
        <v>29</v>
      </c>
      <c r="C23" s="6">
        <v>2</v>
      </c>
      <c r="D23" s="6">
        <v>11000</v>
      </c>
      <c r="E23" s="7">
        <f>C23*D23</f>
        <v>22000</v>
      </c>
      <c r="G23" s="11" t="s">
        <v>30</v>
      </c>
    </row>
    <row r="24" spans="2:7">
      <c r="B24" s="5" t="s">
        <v>31</v>
      </c>
      <c r="C24" s="7">
        <v>4</v>
      </c>
      <c r="D24" s="7">
        <v>1100</v>
      </c>
      <c r="E24" s="7">
        <f t="shared" ref="E24:E29" si="1">C24*D24</f>
        <v>4400</v>
      </c>
      <c r="G24" s="11" t="s">
        <v>32</v>
      </c>
    </row>
    <row r="25" spans="2:7">
      <c r="B25" s="5" t="s">
        <v>33</v>
      </c>
      <c r="C25" s="7">
        <v>4</v>
      </c>
      <c r="D25" s="7">
        <v>10000</v>
      </c>
      <c r="E25" s="7">
        <f t="shared" si="1"/>
        <v>40000</v>
      </c>
      <c r="G25" s="11" t="s">
        <v>34</v>
      </c>
    </row>
    <row r="26" spans="2:7">
      <c r="B26" s="5" t="s">
        <v>35</v>
      </c>
      <c r="C26" s="7">
        <v>4</v>
      </c>
      <c r="D26" s="7">
        <v>10000</v>
      </c>
      <c r="E26" s="7">
        <f t="shared" si="1"/>
        <v>40000</v>
      </c>
      <c r="G26" s="11" t="s">
        <v>36</v>
      </c>
    </row>
    <row r="27" spans="2:7">
      <c r="B27" s="5" t="s">
        <v>37</v>
      </c>
      <c r="C27" s="7">
        <v>4</v>
      </c>
      <c r="D27" s="7">
        <v>15000</v>
      </c>
      <c r="E27" s="7">
        <f t="shared" si="1"/>
        <v>60000</v>
      </c>
      <c r="G27" s="11" t="s">
        <v>38</v>
      </c>
    </row>
    <row r="28" spans="2:7">
      <c r="B28" s="5" t="s">
        <v>39</v>
      </c>
      <c r="C28" s="7">
        <v>4</v>
      </c>
      <c r="D28" s="7">
        <v>4041</v>
      </c>
      <c r="E28" s="7">
        <f t="shared" si="1"/>
        <v>16164</v>
      </c>
      <c r="G28" s="11" t="s">
        <v>40</v>
      </c>
    </row>
    <row r="29" spans="2:7">
      <c r="B29" s="5" t="s">
        <v>41</v>
      </c>
      <c r="C29" s="7">
        <v>50</v>
      </c>
      <c r="D29" s="6">
        <v>125</v>
      </c>
      <c r="E29" s="7">
        <f t="shared" si="1"/>
        <v>6250</v>
      </c>
      <c r="G29" s="11" t="s">
        <v>42</v>
      </c>
    </row>
    <row r="30" spans="2:7">
      <c r="B30" s="5" t="s">
        <v>43</v>
      </c>
      <c r="C30" s="6">
        <v>50</v>
      </c>
      <c r="D30" s="6">
        <v>125</v>
      </c>
      <c r="E30" s="7">
        <f t="shared" ref="E30:E44" si="2">C30*D30</f>
        <v>6250</v>
      </c>
      <c r="G30" s="11" t="s">
        <v>44</v>
      </c>
    </row>
    <row r="31" spans="2:7">
      <c r="B31" s="5" t="s">
        <v>45</v>
      </c>
      <c r="C31" s="6">
        <v>50</v>
      </c>
      <c r="D31" s="6">
        <v>125</v>
      </c>
      <c r="E31" s="7">
        <f t="shared" si="2"/>
        <v>6250</v>
      </c>
      <c r="G31" s="11" t="s">
        <v>46</v>
      </c>
    </row>
    <row r="32" spans="2:7">
      <c r="B32" s="5" t="s">
        <v>47</v>
      </c>
      <c r="C32" s="6">
        <v>20</v>
      </c>
      <c r="D32" s="6">
        <v>199</v>
      </c>
      <c r="E32" s="7">
        <f t="shared" si="2"/>
        <v>3980</v>
      </c>
      <c r="G32" s="11" t="s">
        <v>48</v>
      </c>
    </row>
    <row r="33" spans="2:7">
      <c r="B33" s="5" t="s">
        <v>49</v>
      </c>
      <c r="C33" s="6">
        <v>20</v>
      </c>
      <c r="D33" s="6">
        <v>368</v>
      </c>
      <c r="E33" s="7">
        <f t="shared" si="2"/>
        <v>7360</v>
      </c>
      <c r="F33" s="10"/>
      <c r="G33" s="11" t="s">
        <v>50</v>
      </c>
    </row>
    <row r="34" spans="2:7">
      <c r="B34" s="5" t="s">
        <v>51</v>
      </c>
      <c r="C34" s="6">
        <v>25</v>
      </c>
      <c r="D34" s="6">
        <v>199</v>
      </c>
      <c r="E34" s="7">
        <f t="shared" si="2"/>
        <v>4975</v>
      </c>
      <c r="G34" s="11" t="s">
        <v>52</v>
      </c>
    </row>
    <row r="35" spans="2:7">
      <c r="B35" s="5" t="s">
        <v>53</v>
      </c>
      <c r="C35" s="6">
        <v>5</v>
      </c>
      <c r="D35" s="6">
        <v>2500</v>
      </c>
      <c r="E35" s="7">
        <f t="shared" si="2"/>
        <v>12500</v>
      </c>
      <c r="G35" s="11" t="s">
        <v>54</v>
      </c>
    </row>
    <row r="36" spans="2:7">
      <c r="B36" s="8" t="s">
        <v>55</v>
      </c>
      <c r="C36" s="9">
        <v>6</v>
      </c>
      <c r="D36" s="6">
        <v>3500</v>
      </c>
      <c r="E36" s="7">
        <f t="shared" si="2"/>
        <v>21000</v>
      </c>
      <c r="G36" s="11" t="s">
        <v>56</v>
      </c>
    </row>
    <row r="37" spans="2:7">
      <c r="B37" s="8" t="s">
        <v>57</v>
      </c>
      <c r="C37" s="9">
        <v>6</v>
      </c>
      <c r="D37" s="9">
        <v>15000</v>
      </c>
      <c r="E37" s="9">
        <f t="shared" si="2"/>
        <v>90000</v>
      </c>
      <c r="G37" s="11" t="s">
        <v>58</v>
      </c>
    </row>
    <row r="38" spans="2:7">
      <c r="B38" s="5" t="s">
        <v>59</v>
      </c>
      <c r="C38" s="6">
        <v>20</v>
      </c>
      <c r="D38" s="6">
        <v>199</v>
      </c>
      <c r="E38" s="7">
        <f t="shared" si="2"/>
        <v>3980</v>
      </c>
      <c r="G38" s="11" t="s">
        <v>60</v>
      </c>
    </row>
    <row r="39" spans="2:7">
      <c r="B39" s="5" t="s">
        <v>61</v>
      </c>
      <c r="C39" s="7">
        <v>10</v>
      </c>
      <c r="D39" s="7">
        <v>499</v>
      </c>
      <c r="E39" s="7">
        <f t="shared" si="2"/>
        <v>4990</v>
      </c>
      <c r="G39" s="11" t="s">
        <v>62</v>
      </c>
    </row>
    <row r="40" spans="2:7">
      <c r="B40" s="5" t="s">
        <v>63</v>
      </c>
      <c r="C40" s="7">
        <v>10</v>
      </c>
      <c r="D40" s="7">
        <v>799</v>
      </c>
      <c r="E40" s="7">
        <f t="shared" si="2"/>
        <v>7990</v>
      </c>
      <c r="G40" s="11" t="s">
        <v>64</v>
      </c>
    </row>
    <row r="41" spans="2:7">
      <c r="B41" s="5" t="s">
        <v>65</v>
      </c>
      <c r="C41" s="6">
        <v>12</v>
      </c>
      <c r="D41" s="6">
        <v>1399</v>
      </c>
      <c r="E41" s="7">
        <f t="shared" si="2"/>
        <v>16788</v>
      </c>
      <c r="G41" s="11" t="s">
        <v>66</v>
      </c>
    </row>
    <row r="42" spans="2:7">
      <c r="B42" s="5" t="s">
        <v>67</v>
      </c>
      <c r="C42" s="7">
        <v>2</v>
      </c>
      <c r="D42" s="7">
        <v>15000</v>
      </c>
      <c r="E42" s="7">
        <f t="shared" si="2"/>
        <v>30000</v>
      </c>
      <c r="G42" s="11" t="s">
        <v>68</v>
      </c>
    </row>
    <row r="43" spans="2:7">
      <c r="B43" s="5" t="s">
        <v>69</v>
      </c>
      <c r="C43" s="6">
        <v>50</v>
      </c>
      <c r="D43" s="6">
        <v>125</v>
      </c>
      <c r="E43" s="7">
        <f t="shared" si="2"/>
        <v>6250</v>
      </c>
      <c r="G43" s="11" t="s">
        <v>70</v>
      </c>
    </row>
    <row r="44" spans="2:7">
      <c r="B44" t="s">
        <v>71</v>
      </c>
      <c r="C44" s="10">
        <v>10</v>
      </c>
      <c r="D44" s="10">
        <v>2910</v>
      </c>
      <c r="E44" s="7">
        <f t="shared" si="2"/>
        <v>29100</v>
      </c>
      <c r="G44" s="11" t="s">
        <v>72</v>
      </c>
    </row>
    <row r="45" spans="3:5">
      <c r="C45" s="10"/>
      <c r="D45" s="10"/>
      <c r="E45" s="10"/>
    </row>
    <row r="46" spans="3:5">
      <c r="C46" s="10"/>
      <c r="D46" s="10"/>
      <c r="E46" s="10"/>
    </row>
    <row r="47" spans="3:5">
      <c r="C47" s="10"/>
      <c r="D47" s="10"/>
      <c r="E47" s="10"/>
    </row>
    <row r="48" spans="2:5">
      <c r="B48" t="s">
        <v>73</v>
      </c>
      <c r="C48" s="10"/>
      <c r="D48" s="10"/>
      <c r="E48" s="10"/>
    </row>
    <row r="49" spans="2:5">
      <c r="B49" t="s">
        <v>74</v>
      </c>
      <c r="C49" s="10">
        <v>57000</v>
      </c>
      <c r="D49" s="10"/>
      <c r="E49" s="10"/>
    </row>
    <row r="50" spans="2:5">
      <c r="B50" t="s">
        <v>75</v>
      </c>
      <c r="C50" s="10">
        <v>171000</v>
      </c>
      <c r="D50" s="10"/>
      <c r="E50" s="10"/>
    </row>
    <row r="51" spans="3:5">
      <c r="C51" s="10">
        <f>SUM(C49:C50)</f>
        <v>228000</v>
      </c>
      <c r="D51" s="10"/>
      <c r="E51" s="10"/>
    </row>
    <row r="52" spans="3:5">
      <c r="C52" s="10"/>
      <c r="D52" s="10"/>
      <c r="E52" s="10"/>
    </row>
    <row r="53" spans="2:5">
      <c r="B53" t="s">
        <v>76</v>
      </c>
      <c r="C53" s="10"/>
      <c r="D53" s="10"/>
      <c r="E53" s="10"/>
    </row>
    <row r="54" spans="2:3">
      <c r="B54" t="s">
        <v>74</v>
      </c>
      <c r="C54" s="10">
        <v>100000</v>
      </c>
    </row>
    <row r="55" spans="2:3">
      <c r="B55" t="s">
        <v>75</v>
      </c>
      <c r="C55" s="10">
        <v>360000</v>
      </c>
    </row>
    <row r="56" spans="3:3">
      <c r="C56" s="10">
        <f>SUM(C54:C55)</f>
        <v>460000</v>
      </c>
    </row>
    <row r="58" spans="2:3">
      <c r="B58" t="s">
        <v>77</v>
      </c>
      <c r="C58" s="10">
        <v>22000</v>
      </c>
    </row>
    <row r="60" spans="3:3">
      <c r="C60" s="10">
        <f>C51+C56+C58</f>
        <v>710000</v>
      </c>
    </row>
  </sheetData>
  <hyperlinks>
    <hyperlink ref="G22" r:id="rId1" display="https://www.tokopedia.com/khurs-iot/esp32-s3-n16r8-original-espressif-chip-wroom-16mb-flash-8mb-psram-esp32s3-aiot-1732588326836012264"/>
    <hyperlink ref="G13" r:id="rId2" display="https://www.tokopedia.com/mcsum/soket-konektor-flexi-ffc-fpc-10-pin-pitch-1-0mm-lebar-11mm-clamshell"/>
    <hyperlink ref="G12" r:id="rId3" display="https://www.tokopedia.com/mcsum/kabel-flexible-ffc-fpc-pitch-1-0mm-10-pin-lebar-11mm-bolak-balik-30-cm"/>
    <hyperlink ref="G11" r:id="rId4" display="https://www.tokopedia.com/mcsum/kabel-flexible-ffc-fpc-pitch-1-0mm-10-pin-lebar-11mm-bolak-balik-40-cm"/>
    <hyperlink ref="G10" r:id="rId5" display="https://www.tokopedia.com/nnaudio/ws16-konektor-4-pin-plug-n-socket-ip67-ip68-ws16-4-pin"/>
    <hyperlink ref="G15" r:id="rId6" display="https://www.tokopedia.com/s3-satriasecure/4-pin-1set-socket-3-96mm-besar-molex-4p-ch-3-96mm-header-terminal-4-pin-kaki-kabel-soket-molek-3-96mm-header-4pin-konektor-4kaki-3-96-mm-3-96"/>
    <hyperlink ref="G14" r:id="rId7" display="https://www.tokopedia.com/s3-satriasecure/5-pin-1set-socket-3-96mm-besar-molex-5p-ch-3-96mm-header-5-pin-kaki-kabel-soket-molek-3-96mm-header-5pin-konektor-5kaki-3-96-mm-3-96-konektor-terminal-5p-connector-5-p-kaki-5pin-konector-conektor-5kaki-5lubang-5-lubang-jalur-5jalur-1731323178157442852"/>
    <hyperlink ref="G16" r:id="rId8" display="https://www.tokopedia.com/s3-satriasecure/3-pin-1set-socket-3-96mm-besar-molex-3p-ch-3-96mm-header-3-pin-kaki-kabel-soket-molek-3-96mm-header-3pin-konektor-3kaki-3-96-mm-3-96-konektor-terminal-kabel-3p-3-pin-connector-3-p-kaki-3pin-konector-conektor-3kaki-3lubang-3-lubang-jalur-3jalur-1731323195727185700"/>
    <hyperlink ref="G23" r:id="rId9" display="https://www.tokopedia.com/smgjayatronik/cd4071bcm-cd4071-smd-ic-4071"/>
    <hyperlink ref="G35" r:id="rId10" display="https://www.tokopedia.com/putraniagabdg/tantalum-smd-22uf-10v-kapasitor-22-uf-kode-226-dimensi-3528"/>
    <hyperlink ref="G42" r:id="rId11" display="https://www.tokopedia.com/putraniagabdg/relay-omron-5v-g5v-1-g5v1-5-volt-6pin"/>
    <hyperlink ref="G9" r:id="rId12" display="https://www.tokopedia.com/awallaptop/emi-filter-10a-220v-filter-listrik-ac-220v-box-filter-power-psu-cw2a-10a-t-52307"/>
    <hyperlink ref="G17" r:id="rId13" display="https://www.tokopedia.com/awallaptop/speaker-tv-radio-fullrange-neodymium-audiophile-10w-4ohm-1731947875613181721"/>
    <hyperlink ref="G26" r:id="rId14" display="https://www.tokopedia.com/starelektro-1/lm2576s-lm2576hvs-adj-3-3-5-0-12-ic-regulator-switching-smd-to-263-5-4pcs-5volt-61057"/>
    <hyperlink ref="G25" r:id="rId15" display="https://www.tokopedia.com/starelektro-1/lm2576s-lm2576hvs-adj-3-3-5-0-12-ic-regulator-switching-smd-to-263-5-4pcs-3-3volt-406d1"/>
    <hyperlink ref="G27" r:id="rId16" display="https://www.tokopedia.com/starelektro-1/lm2576s-lm2576hvs-adj-3-3-5-0-12-ic-regulator-switching-smd-to-263-5-4pcs-12volt-cfe9f"/>
    <hyperlink ref="G37" r:id="rId17" display="https://www.tokopedia.com/jayenk/solid-kapasitor-capasitor-elko-elco-smd-35v-680uf-35v-680-uf-35-v-35-volt-vzs-10x10-original-1731473178763494406"/>
    <hyperlink ref="G36" r:id="rId18" display="https://www.tokopedia.com/jayenk/solid-kapasitor-capasitor-elko-elco-smd-50v-100uf-50v-100-uf-50-v-50-volt-10x10-original-1731473174923740166"/>
    <hyperlink ref="G28" r:id="rId19" display="https://www.tokopedia.com/lisuinstrument/usblc6-2-5a-17v-6v-unidirectional-esd-protection-for-usb-2-0-ul26-sot-23-6-stmicroelectronics-1731681111314040293?extParam=src%3Dshop%26whid%3D580205&amp;aff_unique_id=&amp;channel=others&amp;chain_key="/>
    <hyperlink ref="G24" r:id="rId20" display="https://www.tokopedia.com/lisuinstrument/pc817c-optoisolator-photo-transistor-photocoupler-pc817-c517-dip-4-ctk-elketronic-1733359306644686309?extParam=src%3Dshop%26whid%3D580205&amp;aff_unique_id=&amp;channel=others&amp;chain_key="/>
    <hyperlink ref="G30" r:id="rId21" display="https://www.tokopedia.com/lisuinstrument/5-1k-0805-1-125mw-150v-100ppm-thick-resistor-5-1k-5k1-5101-rs-05k5101ft-fenghua-1732465149003138533?extParam=src%3Dshop%26whid%3D580205&amp;aff_unique_id=&amp;channel=others&amp;chain_key="/>
    <hyperlink ref="G31" r:id="rId22" display="https://www.tokopedia.com/lisuinstrument/10k-0805-1-smd-thick-resistor-10k-1002-rc0805fr-0710kl-yageo-1732465271970891237?extParam=src%3Dshop%26whid%3D580205&amp;aff_unique_id=&amp;channel=others&amp;chain_key="/>
    <hyperlink ref="G43" r:id="rId23" display="https://www.tokopedia.com/lisuinstrument/220-1206-1-250mw-200v-100ppm-thick-film-resistors-220r-220-2200-rc1206fr-07220rl-yageo-1732963640261379557?extParam=src%3Dshop%26whid%3D580205&amp;aff_unique_id=&amp;channel=others&amp;chain_key=" tooltip="https://www.tokopedia.com/lisuinstrument/220-1206-1-250mw-200v-100ppm-thick-film-resistors-220r-220-2200-rc1206fr-07220rl-yageo-1732963640261379557?extParam=src%3Dshop%26whid%3D580205&amp;aff_unique_id=&amp;channel=others&amp;chain_key="/>
    <hyperlink ref="G29" r:id="rId24" display="https://www.tokopedia.com/lisuinstrument/22-0805-1-smd-thick-film-resistor-22r0-22r-er-1731886846065739237?extParam=src%3Dshop%26whid%3D580205&amp;aff_unique_id=&amp;channel=others&amp;chain_key="/>
    <hyperlink ref="G33" r:id="rId25" display="https://www.tokopedia.com/lisuinstrument/1uf-10-25v-x7r-0805-smd-capacitor-mlcc-samsung-cl21b105kafnnne-1729922310910150117?extParam=src%3Dshop%26whid%3D580205&amp;aff_unique_id=&amp;channel=others&amp;chain_key="/>
    <hyperlink ref="G34" r:id="rId26" display="https://www.tokopedia.com/lisuinstrument/22pf-5-250v-np0-0805-2012-mm-smd-capacitor-cctc-tcc0805cog220j251bt-1734090887104923109?extParam=src%3Dshop%26whid%3D580205&amp;aff_unique_id=&amp;channel=others&amp;chain_key="/>
    <hyperlink ref="G38" r:id="rId27" display="https://www.tokopedia.com/lisuinstrument/1206-smd-led-smt-ultra-bright-berbagai-pilihan-warna-putih?extParam=src%3Dshop%26whid%3D580205&amp;aff_unique_id=&amp;channel=others&amp;chain_key="/>
    <hyperlink ref="G39" r:id="rId28" display="https://www.tokopedia.com/lisuinstrument/ss36-60v-3a-schottky-barrier-rectifier-ss36-sma-ctk-electronics?extParam=whid%3D580205%26src%3Dshop&amp;aff_unique_id=&amp;channel=others&amp;chain_key="/>
    <hyperlink ref="G40" r:id="rId29" display="https://www.tokopedia.com/lisuinstrument/ss32-20v-3a-schottky-barrier-diode-sma-do-214ac-goodwork-original?extParam=src%3Dshop%26whid%3D580205&amp;aff_unique_id=&amp;channel=others&amp;chain_key="/>
    <hyperlink ref="G41" r:id="rId30" display="https://www.tokopedia.com/lisuinstrument/bcx56-npn-80v-1a-500mw-hfe-100-250-transistor-bjt-sot-89-3-cj-original?extParam=src%3Dshop%26whid%3D580205&amp;aff_unique_id=&amp;channel=others&amp;chain_key="/>
    <hyperlink ref="G44" r:id="rId31" display="https://www.tokopedia.com/ichibot/100uh-cdrh127r-induktor-smd-smt-power-inductor-cdrh-127r-100-uh-1d39"/>
    <hyperlink ref="G3" r:id="rId32" display="https://www.tokopedia.com/electricalhome/meteran-listrik-digital-display-din-rail-single-phase-multi-function-digital-meter-d52-2066-1731124618970367511?extParam=ivf%3Dfalse%26keyword%3Dsingle+phase+ac+monitor+d52-2066%26search_id%3D2026012309023194F6D7E04A4D453BFDR7%26src%3Dsearch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D14" sqref="D14"/>
    </sheetView>
  </sheetViews>
  <sheetFormatPr defaultColWidth="9" defaultRowHeight="16.8" outlineLevelRow="7"/>
  <cols>
    <col min="3" max="3" width="40.875" customWidth="1"/>
    <col min="4" max="11" width="11.5625" customWidth="1"/>
    <col min="13" max="13" width="63.6875" customWidth="1"/>
  </cols>
  <sheetData>
    <row r="1" spans="1:11">
      <c r="A1" s="1" t="s">
        <v>1</v>
      </c>
      <c r="B1" s="1" t="s">
        <v>2</v>
      </c>
      <c r="C1" s="1" t="s">
        <v>78</v>
      </c>
      <c r="D1" s="1" t="s">
        <v>4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</row>
    <row r="2" spans="1:11">
      <c r="A2">
        <v>1</v>
      </c>
      <c r="B2" t="s">
        <v>84</v>
      </c>
      <c r="C2" t="s">
        <v>85</v>
      </c>
      <c r="D2" s="2">
        <v>4500</v>
      </c>
      <c r="E2" s="2"/>
      <c r="F2" s="2"/>
      <c r="G2" s="2">
        <v>500</v>
      </c>
      <c r="H2" s="2">
        <f>25*2*2000/100</f>
        <v>1000</v>
      </c>
      <c r="I2" s="2">
        <v>900</v>
      </c>
      <c r="J2" s="2">
        <f>SUM(G2:I2)</f>
        <v>2400</v>
      </c>
      <c r="K2" s="2">
        <f>D2-J2</f>
        <v>2100</v>
      </c>
    </row>
    <row r="3" spans="1:11">
      <c r="A3">
        <v>2</v>
      </c>
      <c r="B3" t="s">
        <v>86</v>
      </c>
      <c r="C3" t="s">
        <v>87</v>
      </c>
      <c r="D3" s="2">
        <v>1500</v>
      </c>
      <c r="E3" s="2"/>
      <c r="F3" s="2"/>
      <c r="G3" s="2">
        <v>500</v>
      </c>
      <c r="H3" s="2">
        <f>30*2*2000/100</f>
        <v>1200</v>
      </c>
      <c r="I3" s="2"/>
      <c r="J3" s="2">
        <f>SUM(G3:I3)</f>
        <v>1700</v>
      </c>
      <c r="K3" s="2">
        <f>D3-J3</f>
        <v>-200</v>
      </c>
    </row>
    <row r="4" spans="1:11">
      <c r="A4">
        <v>3</v>
      </c>
      <c r="B4" t="s">
        <v>88</v>
      </c>
      <c r="C4" t="s">
        <v>89</v>
      </c>
      <c r="D4" s="2">
        <v>5000</v>
      </c>
      <c r="E4" s="2"/>
      <c r="F4" s="2"/>
      <c r="G4" s="2">
        <v>800</v>
      </c>
      <c r="H4" s="2">
        <f>25*3*1700/100</f>
        <v>1275</v>
      </c>
      <c r="I4" s="2">
        <v>600</v>
      </c>
      <c r="J4" s="2">
        <f>SUM(G4:I4)</f>
        <v>2675</v>
      </c>
      <c r="K4" s="2">
        <f>D4-J4</f>
        <v>2325</v>
      </c>
    </row>
    <row r="5" spans="1:11">
      <c r="A5">
        <v>4</v>
      </c>
      <c r="B5" t="s">
        <v>90</v>
      </c>
      <c r="C5" t="s">
        <v>91</v>
      </c>
      <c r="D5" s="2">
        <v>1000</v>
      </c>
      <c r="E5" s="2"/>
      <c r="F5" s="2"/>
      <c r="G5" s="2">
        <v>500</v>
      </c>
      <c r="H5" s="2">
        <f>15*2*1700/100</f>
        <v>510</v>
      </c>
      <c r="I5" s="2"/>
      <c r="J5" s="2">
        <f>SUM(G5:I5)</f>
        <v>1010</v>
      </c>
      <c r="K5" s="2">
        <f>D5-J5</f>
        <v>-10</v>
      </c>
    </row>
    <row r="6" spans="4:13">
      <c r="D6" s="3">
        <f>SUM(D2:D5)</f>
        <v>12000</v>
      </c>
      <c r="E6" s="1"/>
      <c r="F6" s="1"/>
      <c r="G6" s="2"/>
      <c r="H6" s="2"/>
      <c r="I6" s="2"/>
      <c r="J6" s="2"/>
      <c r="K6" s="3">
        <f>SUM(K2:K5)</f>
        <v>4215</v>
      </c>
      <c r="L6" s="1">
        <f>K6/5</f>
        <v>843</v>
      </c>
      <c r="M6" t="s">
        <v>92</v>
      </c>
    </row>
    <row r="7" spans="4:6">
      <c r="D7" s="3">
        <f>D6*50</f>
        <v>600000</v>
      </c>
      <c r="E7" s="3">
        <v>50</v>
      </c>
      <c r="F7" s="3" t="s">
        <v>93</v>
      </c>
    </row>
    <row r="8" spans="4:6">
      <c r="D8" s="3">
        <f>D6*1000</f>
        <v>12000000</v>
      </c>
      <c r="E8" s="3">
        <v>1000</v>
      </c>
      <c r="F8" s="3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margabudi</cp:lastModifiedBy>
  <dcterms:created xsi:type="dcterms:W3CDTF">2026-01-07T17:40:00Z</dcterms:created>
  <dcterms:modified xsi:type="dcterms:W3CDTF">2026-01-23T16:09:48Z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E3EEB9DBB4C8367092245B691B212D66_41</vt:lpwstr>
  </property>
  <property fmtid="{D5CDD505-2E9C-101B-9397-08002B2CF9AE}" pid="3" name="KSOProductBuildVer">
    <vt:lpwstr>1033-6.13.1.8709</vt:lpwstr>
  </property>
  <property fmtid="{D5CDD505-2E9C-101B-9397-08002B2CF9AE}" pid="4" name="KSOReadingLayout">
    <vt:bool>true</vt:bool>
  </property>
</Properties>
</file>