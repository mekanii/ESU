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460" windowHeight="13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<sst xmlns="http://schemas.openxmlformats.org/spreadsheetml/2006/main" count="46" uniqueCount="38">
  <si>
    <t>TOOLS</t>
  </si>
  <si>
    <t>#</t>
  </si>
  <si>
    <t>Item</t>
  </si>
  <si>
    <t>Jumlah</t>
  </si>
  <si>
    <t>Harga</t>
  </si>
  <si>
    <t>Single Phase AC Monitor D52-2066</t>
  </si>
  <si>
    <t>AKSESORIS BOX ESU</t>
  </si>
  <si>
    <t>EMI Filter CW2A-10A-T</t>
  </si>
  <si>
    <t>Connector WS16 4 Pin</t>
  </si>
  <si>
    <t>Flat Cable FFC/FPC-10P 1.0mm 40cm</t>
  </si>
  <si>
    <t>Flat Cable FFC/FPC-10P 1.0mm 30cm</t>
  </si>
  <si>
    <t>Connector FFC/FPC-10P 1.0mm Clam Shell</t>
  </si>
  <si>
    <t>Connector_Molex:Molex_KK-396_5273-05A (Full set)</t>
  </si>
  <si>
    <t>Connector_Molex:Molex_KK-396_5273-04A (Full set)</t>
  </si>
  <si>
    <t>Connector_Molex:Molex_KK-396_5273-03A (Full set)</t>
  </si>
  <si>
    <t>Speaker 10W 4Ω Fullrange</t>
  </si>
  <si>
    <t>KOMPONEN KONTROLER ESU</t>
  </si>
  <si>
    <t>ESP32-S3-WROOM-1U N16R8</t>
  </si>
  <si>
    <t>CD4071BCM</t>
  </si>
  <si>
    <t>PC817C</t>
  </si>
  <si>
    <t>LM2576S-3.3</t>
  </si>
  <si>
    <t>LM2576S-5</t>
  </si>
  <si>
    <t>LM2576S-12</t>
  </si>
  <si>
    <t>USBLC6-2SC6</t>
  </si>
  <si>
    <t>R 22 0805 1%</t>
  </si>
  <si>
    <t>R 5.1k 1206 1%</t>
  </si>
  <si>
    <t>R 10k 1206 1%</t>
  </si>
  <si>
    <t>C 100nF 50V 0805 X7R 5%</t>
  </si>
  <si>
    <t>C 1µF 25V 0805 X7R 10%</t>
  </si>
  <si>
    <t>C 22pF 50V C0G</t>
  </si>
  <si>
    <t>C Tantalum 22µF 10V 3528</t>
  </si>
  <si>
    <t>100µF 50V</t>
  </si>
  <si>
    <t>680µF 35V</t>
  </si>
  <si>
    <t>LED</t>
  </si>
  <si>
    <t>D SS36 SMA</t>
  </si>
  <si>
    <t>D SS32 SMA</t>
  </si>
  <si>
    <t>BCX56</t>
  </si>
  <si>
    <t>G5V-1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</si>
</sst>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178" fontId="0" fillId="0" borderId="0" xfId="1" applyNumberFormat="1">
      <alignment vertical="center"/>
    </xf>
    <xf numFmtId="178" fontId="0" fillId="0" borderId="0" xfId="0" applyNumberFormat="1">
      <alignment vertical="center"/>
    </xf>
    <xf numFmtId="0" fontId="0" fillId="0" borderId="0" xfId="0" applyFill="1" applyAlignment="1">
      <alignment vertical="center"/>
    </xf>
    <xf numFmtId="178" fontId="0" fillId="0" borderId="0" xfId="1" applyNumberFormat="1" applyFont="1">
      <alignment vertical="center"/>
    </xf>
    <xf numFmtId="178" fontId="1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"/>
  <sheetViews>
    <sheetView tabSelected="1" zoomScale="119" zoomScaleNormal="119" topLeftCell="A19" workbookViewId="0">
      <selection activeCell="F32" sqref="F32"/>
    </sheetView>
  </sheetViews>
  <sheetFormatPr defaultColWidth="9" defaultRowHeight="16.8" outlineLevelCol="5"/>
  <cols>
    <col min="2" max="2" width="46.75" customWidth="1"/>
    <col min="4" max="4" width="11.6875"/>
  </cols>
  <sheetData>
    <row r="1" s="1" customFormat="1" spans="1:1">
      <c r="A1" s="1" t="s">
        <v>0</v>
      </c>
    </row>
    <row r="2" s="1" customFormat="1" spans="1:4">
      <c r="A2" s="1" t="s">
        <v>1</v>
      </c>
      <c r="B2" s="1" t="s">
        <v>2</v>
      </c>
      <c r="C2" s="1" t="s">
        <v>3</v>
      </c>
      <c r="D2" s="1" t="s">
        <v>4</v>
      </c>
    </row>
    <row r="3" spans="2:4">
      <c r="B3" t="s">
        <v>5</v>
      </c>
      <c r="C3" s="2">
        <v>1</v>
      </c>
      <c r="D3" s="2">
        <v>108000</v>
      </c>
    </row>
    <row r="7" s="1" customFormat="1" spans="1:1">
      <c r="A7" s="1" t="s">
        <v>6</v>
      </c>
    </row>
    <row r="8" s="1" customFormat="1" spans="1:5">
      <c r="A8" s="1" t="s">
        <v>1</v>
      </c>
      <c r="B8" s="1" t="s">
        <v>2</v>
      </c>
      <c r="C8" s="1" t="s">
        <v>3</v>
      </c>
      <c r="D8" s="1" t="s">
        <v>4</v>
      </c>
      <c r="E8" s="6">
        <f>SUM(E9:E17)</f>
        <v>484800</v>
      </c>
    </row>
    <row r="9" spans="2:5">
      <c r="B9" t="s">
        <v>7</v>
      </c>
      <c r="C9" s="2">
        <v>1</v>
      </c>
      <c r="D9" s="2">
        <v>98000</v>
      </c>
      <c r="E9" s="3">
        <f t="shared" ref="E9:E17" si="0">C9*D9</f>
        <v>98000</v>
      </c>
    </row>
    <row r="10" spans="2:5">
      <c r="B10" t="s">
        <v>8</v>
      </c>
      <c r="C10" s="2">
        <v>1</v>
      </c>
      <c r="D10" s="2">
        <v>198500</v>
      </c>
      <c r="E10" s="3">
        <f t="shared" si="0"/>
        <v>198500</v>
      </c>
    </row>
    <row r="11" spans="2:5">
      <c r="B11" t="s">
        <v>9</v>
      </c>
      <c r="C11" s="2">
        <v>1</v>
      </c>
      <c r="D11" s="2">
        <v>32000</v>
      </c>
      <c r="E11" s="3">
        <f t="shared" si="0"/>
        <v>32000</v>
      </c>
    </row>
    <row r="12" spans="2:5">
      <c r="B12" t="s">
        <v>10</v>
      </c>
      <c r="C12" s="2">
        <v>1</v>
      </c>
      <c r="D12" s="2">
        <v>26000</v>
      </c>
      <c r="E12" s="3">
        <f t="shared" si="0"/>
        <v>26000</v>
      </c>
    </row>
    <row r="13" spans="2:5">
      <c r="B13" t="s">
        <v>11</v>
      </c>
      <c r="C13" s="2">
        <v>4</v>
      </c>
      <c r="D13" s="2">
        <v>12500</v>
      </c>
      <c r="E13" s="3">
        <f t="shared" si="0"/>
        <v>50000</v>
      </c>
    </row>
    <row r="14" spans="2:5">
      <c r="B14" t="s">
        <v>12</v>
      </c>
      <c r="C14" s="2">
        <v>2</v>
      </c>
      <c r="D14" s="2">
        <v>6250</v>
      </c>
      <c r="E14" s="3">
        <f t="shared" si="0"/>
        <v>12500</v>
      </c>
    </row>
    <row r="15" spans="2:5">
      <c r="B15" t="s">
        <v>13</v>
      </c>
      <c r="C15" s="2">
        <v>4</v>
      </c>
      <c r="D15" s="2">
        <v>5400</v>
      </c>
      <c r="E15" s="3">
        <f t="shared" si="0"/>
        <v>21600</v>
      </c>
    </row>
    <row r="16" spans="2:5">
      <c r="B16" t="s">
        <v>14</v>
      </c>
      <c r="C16" s="2">
        <v>4</v>
      </c>
      <c r="D16" s="2">
        <v>4550</v>
      </c>
      <c r="E16" s="3">
        <f t="shared" si="0"/>
        <v>18200</v>
      </c>
    </row>
    <row r="17" spans="2:5">
      <c r="B17" t="s">
        <v>15</v>
      </c>
      <c r="C17" s="2">
        <v>1</v>
      </c>
      <c r="D17" s="2">
        <v>28000</v>
      </c>
      <c r="E17" s="3">
        <f t="shared" si="0"/>
        <v>28000</v>
      </c>
    </row>
    <row r="18" spans="3:5">
      <c r="C18" s="2"/>
      <c r="D18" s="2"/>
      <c r="E18" s="3"/>
    </row>
    <row r="19" spans="1:1">
      <c r="A19" s="1" t="s">
        <v>16</v>
      </c>
    </row>
    <row r="20" spans="1:5">
      <c r="A20" s="1" t="s">
        <v>1</v>
      </c>
      <c r="B20" s="1" t="s">
        <v>2</v>
      </c>
      <c r="C20" s="1" t="s">
        <v>3</v>
      </c>
      <c r="D20" s="1" t="s">
        <v>4</v>
      </c>
      <c r="E20" s="6">
        <f>SUM(E21:E41)</f>
        <v>642102</v>
      </c>
    </row>
    <row r="21" spans="2:5">
      <c r="B21" t="s">
        <v>17</v>
      </c>
      <c r="C21" s="2">
        <v>2</v>
      </c>
      <c r="D21" s="2">
        <v>120000</v>
      </c>
      <c r="E21" s="3">
        <f>C21*D21</f>
        <v>240000</v>
      </c>
    </row>
    <row r="22" spans="2:5">
      <c r="B22" t="s">
        <v>18</v>
      </c>
      <c r="C22" s="2">
        <v>2</v>
      </c>
      <c r="D22" s="2">
        <v>11000</v>
      </c>
      <c r="E22" s="3">
        <f>C22*D22</f>
        <v>22000</v>
      </c>
    </row>
    <row r="23" spans="2:5">
      <c r="B23" t="s">
        <v>19</v>
      </c>
      <c r="C23" s="3">
        <v>4</v>
      </c>
      <c r="D23" s="3">
        <v>1100</v>
      </c>
      <c r="E23" s="3">
        <f t="shared" ref="E23:E28" si="1">C23*D23</f>
        <v>4400</v>
      </c>
    </row>
    <row r="24" spans="2:5">
      <c r="B24" t="s">
        <v>20</v>
      </c>
      <c r="C24" s="3">
        <v>4</v>
      </c>
      <c r="D24" s="3">
        <v>10000</v>
      </c>
      <c r="E24" s="3">
        <f t="shared" si="1"/>
        <v>40000</v>
      </c>
    </row>
    <row r="25" spans="2:5">
      <c r="B25" t="s">
        <v>21</v>
      </c>
      <c r="C25" s="3">
        <v>4</v>
      </c>
      <c r="D25" s="3">
        <v>10000</v>
      </c>
      <c r="E25" s="3">
        <f t="shared" si="1"/>
        <v>40000</v>
      </c>
    </row>
    <row r="26" spans="2:5">
      <c r="B26" t="s">
        <v>22</v>
      </c>
      <c r="C26" s="3">
        <v>4</v>
      </c>
      <c r="D26" s="3">
        <v>15000</v>
      </c>
      <c r="E26" s="3">
        <f t="shared" si="1"/>
        <v>60000</v>
      </c>
    </row>
    <row r="27" spans="2:5">
      <c r="B27" t="s">
        <v>23</v>
      </c>
      <c r="C27" s="3">
        <v>4</v>
      </c>
      <c r="D27" s="3">
        <v>4041</v>
      </c>
      <c r="E27" s="3">
        <f t="shared" si="1"/>
        <v>16164</v>
      </c>
    </row>
    <row r="28" spans="2:5">
      <c r="B28" t="s">
        <v>24</v>
      </c>
      <c r="C28" s="3">
        <v>50</v>
      </c>
      <c r="D28" s="3">
        <v>100</v>
      </c>
      <c r="E28" s="3">
        <f t="shared" si="1"/>
        <v>5000</v>
      </c>
    </row>
    <row r="29" spans="2:5">
      <c r="B29" t="s">
        <v>25</v>
      </c>
      <c r="C29" s="2">
        <v>25</v>
      </c>
      <c r="D29" s="2">
        <v>149</v>
      </c>
      <c r="E29" s="3">
        <f t="shared" ref="E29:E41" si="2">C29*D29</f>
        <v>3725</v>
      </c>
    </row>
    <row r="30" spans="2:5">
      <c r="B30" t="s">
        <v>26</v>
      </c>
      <c r="C30" s="2">
        <v>50</v>
      </c>
      <c r="D30" s="2">
        <v>125</v>
      </c>
      <c r="E30" s="3">
        <f t="shared" si="2"/>
        <v>6250</v>
      </c>
    </row>
    <row r="31" spans="2:5">
      <c r="B31" t="s">
        <v>27</v>
      </c>
      <c r="C31" s="2">
        <v>20</v>
      </c>
      <c r="D31" s="2">
        <v>249</v>
      </c>
      <c r="E31" s="3">
        <f t="shared" si="2"/>
        <v>4980</v>
      </c>
    </row>
    <row r="32" spans="2:6">
      <c r="B32" t="s">
        <v>28</v>
      </c>
      <c r="C32" s="2">
        <v>20</v>
      </c>
      <c r="D32" s="2">
        <v>368</v>
      </c>
      <c r="E32" s="3">
        <f t="shared" si="2"/>
        <v>7360</v>
      </c>
      <c r="F32" s="3"/>
    </row>
    <row r="33" spans="2:5">
      <c r="B33" t="s">
        <v>29</v>
      </c>
      <c r="C33" s="2">
        <v>25</v>
      </c>
      <c r="D33" s="2">
        <v>199</v>
      </c>
      <c r="E33" s="3">
        <f t="shared" si="2"/>
        <v>4975</v>
      </c>
    </row>
    <row r="34" spans="2:5">
      <c r="B34" t="s">
        <v>30</v>
      </c>
      <c r="C34" s="2">
        <v>5</v>
      </c>
      <c r="D34" s="2">
        <v>2500</v>
      </c>
      <c r="E34" s="3">
        <f t="shared" si="2"/>
        <v>12500</v>
      </c>
    </row>
    <row r="35" spans="2:5">
      <c r="B35" s="4" t="s">
        <v>31</v>
      </c>
      <c r="C35" s="5">
        <v>6</v>
      </c>
      <c r="D35" s="2">
        <v>3500</v>
      </c>
      <c r="E35" s="3">
        <f t="shared" si="2"/>
        <v>21000</v>
      </c>
    </row>
    <row r="36" spans="2:5">
      <c r="B36" s="4" t="s">
        <v>32</v>
      </c>
      <c r="C36">
        <v>6</v>
      </c>
      <c r="D36">
        <v>15000</v>
      </c>
      <c r="E36" s="3">
        <f t="shared" si="2"/>
        <v>90000</v>
      </c>
    </row>
    <row r="37" spans="2:5">
      <c r="B37" t="s">
        <v>33</v>
      </c>
      <c r="C37" s="2">
        <v>20</v>
      </c>
      <c r="D37" s="2">
        <v>199</v>
      </c>
      <c r="E37" s="3">
        <f t="shared" si="2"/>
        <v>3980</v>
      </c>
    </row>
    <row r="38" spans="2:5">
      <c r="B38" t="s">
        <v>34</v>
      </c>
      <c r="C38" s="3">
        <v>10</v>
      </c>
      <c r="D38" s="3">
        <v>499</v>
      </c>
      <c r="E38" s="3">
        <f t="shared" si="2"/>
        <v>4990</v>
      </c>
    </row>
    <row r="39" spans="2:5">
      <c r="B39" t="s">
        <v>35</v>
      </c>
      <c r="C39" s="3">
        <v>10</v>
      </c>
      <c r="D39" s="3">
        <v>799</v>
      </c>
      <c r="E39" s="3">
        <f t="shared" si="2"/>
        <v>7990</v>
      </c>
    </row>
    <row r="40" spans="2:5">
      <c r="B40" t="s">
        <v>36</v>
      </c>
      <c r="C40" s="2">
        <v>12</v>
      </c>
      <c r="D40" s="2">
        <v>1399</v>
      </c>
      <c r="E40" s="3">
        <f t="shared" si="2"/>
        <v>16788</v>
      </c>
    </row>
    <row r="41" spans="2:5">
      <c r="B41" t="s">
        <v>37</v>
      </c>
      <c r="C41" s="3">
        <v>2</v>
      </c>
      <c r="D41" s="3">
        <v>15000</v>
      </c>
      <c r="E41" s="3">
        <f t="shared" si="2"/>
        <v>30000</v>
      </c>
    </row>
    <row r="42" spans="3:5">
      <c r="C42" s="3"/>
      <c r="D42" s="3"/>
      <c r="E42" s="3"/>
    </row>
    <row r="43" spans="3:5">
      <c r="C43" s="3"/>
      <c r="D43" s="3"/>
      <c r="E43" s="3"/>
    </row>
    <row r="44" spans="3:5">
      <c r="C44" s="3"/>
      <c r="D44" s="3"/>
      <c r="E44" s="3"/>
    </row>
    <row r="45" spans="3:5">
      <c r="C45" s="3"/>
      <c r="D45" s="3"/>
      <c r="E45" s="3"/>
    </row>
    <row r="46" spans="3:5">
      <c r="C46" s="3"/>
      <c r="D46" s="3"/>
      <c r="E46" s="3"/>
    </row>
    <row r="47" spans="3:5">
      <c r="C47" s="3"/>
      <c r="D47" s="3"/>
      <c r="E47" s="3"/>
    </row>
    <row r="48" spans="3:5">
      <c r="C48" s="3"/>
      <c r="D48" s="3"/>
      <c r="E48" s="3"/>
    </row>
    <row r="49" spans="3:5">
      <c r="C49" s="3"/>
      <c r="D49" s="3"/>
      <c r="E49" s="3"/>
    </row>
    <row r="50" spans="3:5">
      <c r="C50" s="3"/>
      <c r="D50" s="3"/>
      <c r="E50" s="3"/>
    </row>
    <row r="51" spans="3:5">
      <c r="C51" s="3"/>
      <c r="D51" s="3"/>
      <c r="E51" s="3"/>
    </row>
    <row r="52" spans="3:5">
      <c r="C52" s="3"/>
      <c r="D52" s="3"/>
      <c r="E52" s="3"/>
    </row>
    <row r="53" spans="3:5">
      <c r="C53" s="3"/>
      <c r="D53" s="3"/>
      <c r="E5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margabudi</cp:lastModifiedBy>
  <dcterms:created xsi:type="dcterms:W3CDTF">2026-01-06T13:40:00Z</dcterms:created>
  <dcterms:modified xsi:type="dcterms:W3CDTF">2026-01-12T09:41:09Z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E3EEB9DBB4C8367092245B691B212D66_41</vt:lpwstr>
  </property>
  <property fmtid="{D5CDD505-2E9C-101B-9397-08002B2CF9AE}" pid="3" name="KSOProductBuildVer">
    <vt:lpwstr>1033-6.13.1.8709</vt:lpwstr>
  </property>
</Properties>
</file>