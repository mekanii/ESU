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360" activeTab="1"/>
  </bookViews>
  <sheets>
    <sheet name="ETD" sheetId="1" r:id="rId1"/>
    <sheet name="Toroid" sheetId="2" r:id="rId2"/>
    <sheet name="Sheet3" sheetId="3" r:id="rId3"/>
    <sheet name="Sheet1" sheetId="6" r:id="rId4"/>
    <sheet name="Sheet2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<sst xmlns="http://schemas.openxmlformats.org/spreadsheetml/2006/main" count="109" uniqueCount="50">
  <si>
    <t>#</t>
  </si>
  <si>
    <r>
      <rPr>
        <sz val="10"/>
        <color theme="1"/>
        <rFont val="Arial"/>
        <charset val="134"/>
      </rPr>
      <t>V</t>
    </r>
    <r>
      <rPr>
        <vertAlign val="subscript"/>
        <sz val="10"/>
        <color theme="1"/>
        <rFont val="Arial"/>
        <charset val="134"/>
      </rPr>
      <t>in</t>
    </r>
    <r>
      <rPr>
        <sz val="10"/>
        <color theme="1"/>
        <rFont val="Arial"/>
        <charset val="134"/>
      </rPr>
      <t xml:space="preserve"> [ </t>
    </r>
    <r>
      <rPr>
        <b/>
        <sz val="10"/>
        <color theme="1"/>
        <rFont val="Arial Bold"/>
        <charset val="134"/>
      </rPr>
      <t>V</t>
    </r>
    <r>
      <rPr>
        <sz val="10"/>
        <color theme="1"/>
        <rFont val="Arial"/>
        <charset val="134"/>
      </rPr>
      <t xml:space="preserve"> ]</t>
    </r>
  </si>
  <si>
    <r>
      <rPr>
        <sz val="10"/>
        <color theme="1"/>
        <rFont val="Arial"/>
        <charset val="134"/>
      </rPr>
      <t xml:space="preserve">ƒ [ </t>
    </r>
    <r>
      <rPr>
        <b/>
        <sz val="10"/>
        <color theme="1"/>
        <rFont val="Arial Bold"/>
        <charset val="134"/>
      </rPr>
      <t>Hz</t>
    </r>
    <r>
      <rPr>
        <sz val="10"/>
        <color theme="1"/>
        <rFont val="Arial"/>
        <charset val="134"/>
      </rPr>
      <t xml:space="preserve"> ]</t>
    </r>
  </si>
  <si>
    <r>
      <rPr>
        <sz val="10"/>
        <color theme="1"/>
        <rFont val="Arial"/>
        <charset val="134"/>
      </rPr>
      <t xml:space="preserve">d [ </t>
    </r>
    <r>
      <rPr>
        <b/>
        <sz val="10"/>
        <color theme="1"/>
        <rFont val="Arial Bold"/>
        <charset val="134"/>
      </rPr>
      <t>mm</t>
    </r>
    <r>
      <rPr>
        <sz val="10"/>
        <color theme="1"/>
        <rFont val="Arial"/>
        <charset val="134"/>
      </rPr>
      <t xml:space="preserve"> ]</t>
    </r>
  </si>
  <si>
    <r>
      <rPr>
        <sz val="10"/>
        <color theme="1"/>
        <rFont val="Arial"/>
        <charset val="134"/>
      </rPr>
      <t>A</t>
    </r>
    <r>
      <rPr>
        <vertAlign val="subscript"/>
        <sz val="10"/>
        <color theme="1"/>
        <rFont val="Arial"/>
        <charset val="134"/>
      </rPr>
      <t>e</t>
    </r>
    <r>
      <rPr>
        <sz val="10"/>
        <color theme="1"/>
        <rFont val="Arial"/>
        <charset val="134"/>
      </rPr>
      <t xml:space="preserve"> = ¼ × π × d</t>
    </r>
    <r>
      <rPr>
        <vertAlign val="superscript"/>
        <sz val="10"/>
        <color theme="1"/>
        <rFont val="Arial"/>
        <charset val="134"/>
      </rPr>
      <t>2</t>
    </r>
    <r>
      <rPr>
        <sz val="10"/>
        <color theme="1"/>
        <rFont val="Arial"/>
        <charset val="134"/>
      </rPr>
      <t xml:space="preserve"> [ </t>
    </r>
    <r>
      <rPr>
        <b/>
        <sz val="10"/>
        <color theme="1"/>
        <rFont val="Arial Bold"/>
        <charset val="134"/>
      </rPr>
      <t>mm</t>
    </r>
    <r>
      <rPr>
        <b/>
        <vertAlign val="superscript"/>
        <sz val="10"/>
        <color theme="1"/>
        <rFont val="Arial Bold"/>
        <charset val="134"/>
      </rPr>
      <t>2</t>
    </r>
    <r>
      <rPr>
        <sz val="10"/>
        <color theme="1"/>
        <rFont val="Arial"/>
        <charset val="134"/>
      </rPr>
      <t xml:space="preserve"> ]</t>
    </r>
  </si>
  <si>
    <r>
      <rPr>
        <sz val="10"/>
        <color theme="1"/>
        <rFont val="Arial"/>
        <charset val="134"/>
      </rPr>
      <t>B</t>
    </r>
    <r>
      <rPr>
        <vertAlign val="subscript"/>
        <sz val="10"/>
        <color theme="1"/>
        <rFont val="Arial"/>
        <charset val="134"/>
      </rPr>
      <t>max</t>
    </r>
    <r>
      <rPr>
        <sz val="10"/>
        <color theme="1"/>
        <rFont val="Arial"/>
        <charset val="134"/>
      </rPr>
      <t xml:space="preserve"> [ </t>
    </r>
    <r>
      <rPr>
        <b/>
        <sz val="10"/>
        <color theme="1"/>
        <rFont val="Arial Bold"/>
        <charset val="134"/>
      </rPr>
      <t>Gauss</t>
    </r>
    <r>
      <rPr>
        <sz val="10"/>
        <color theme="1"/>
        <rFont val="Arial"/>
        <charset val="134"/>
      </rPr>
      <t xml:space="preserve"> ]</t>
    </r>
  </si>
  <si>
    <r>
      <rPr>
        <sz val="10"/>
        <color theme="1"/>
        <rFont val="Calibri"/>
        <charset val="134"/>
        <scheme val="minor"/>
      </rPr>
      <t>N</t>
    </r>
    <r>
      <rPr>
        <vertAlign val="subscript"/>
        <sz val="10"/>
        <color theme="1"/>
        <rFont val="Calibri"/>
        <charset val="134"/>
        <scheme val="minor"/>
      </rPr>
      <t>p</t>
    </r>
    <r>
      <rPr>
        <sz val="10"/>
        <color theme="1"/>
        <rFont val="Calibri"/>
        <charset val="134"/>
        <scheme val="minor"/>
      </rPr>
      <t xml:space="preserve"> = V</t>
    </r>
    <r>
      <rPr>
        <vertAlign val="subscript"/>
        <sz val="10"/>
        <color theme="1"/>
        <rFont val="Calibri"/>
        <charset val="134"/>
        <scheme val="minor"/>
      </rPr>
      <t>in</t>
    </r>
    <r>
      <rPr>
        <sz val="10"/>
        <color theme="1"/>
        <rFont val="Calibri"/>
        <charset val="134"/>
        <scheme val="minor"/>
      </rPr>
      <t xml:space="preserve"> × 10</t>
    </r>
    <r>
      <rPr>
        <vertAlign val="superscript"/>
        <sz val="10"/>
        <color theme="1"/>
        <rFont val="Calibri"/>
        <charset val="134"/>
        <scheme val="minor"/>
      </rPr>
      <t>10</t>
    </r>
    <r>
      <rPr>
        <sz val="10"/>
        <color theme="1"/>
        <rFont val="Calibri"/>
        <charset val="134"/>
        <scheme val="minor"/>
      </rPr>
      <t xml:space="preserve"> / ( 4 × ƒ × B</t>
    </r>
    <r>
      <rPr>
        <vertAlign val="subscript"/>
        <sz val="10"/>
        <color theme="1"/>
        <rFont val="Calibri"/>
        <charset val="134"/>
        <scheme val="minor"/>
      </rPr>
      <t>max</t>
    </r>
    <r>
      <rPr>
        <sz val="10"/>
        <color theme="1"/>
        <rFont val="Calibri"/>
        <charset val="134"/>
        <scheme val="minor"/>
      </rPr>
      <t xml:space="preserve"> × A</t>
    </r>
    <r>
      <rPr>
        <vertAlign val="subscript"/>
        <sz val="10"/>
        <color theme="1"/>
        <rFont val="Calibri"/>
        <charset val="134"/>
        <scheme val="minor"/>
      </rPr>
      <t>e</t>
    </r>
    <r>
      <rPr>
        <sz val="10"/>
        <color theme="1"/>
        <rFont val="Calibri"/>
        <charset val="134"/>
        <scheme val="minor"/>
      </rPr>
      <t xml:space="preserve"> )</t>
    </r>
  </si>
  <si>
    <r>
      <rPr>
        <sz val="10"/>
        <color theme="1"/>
        <rFont val="Arial"/>
        <charset val="134"/>
      </rPr>
      <t>B</t>
    </r>
    <r>
      <rPr>
        <vertAlign val="subscript"/>
        <sz val="10"/>
        <color theme="1"/>
        <rFont val="Arial"/>
        <charset val="134"/>
      </rPr>
      <t>max</t>
    </r>
    <r>
      <rPr>
        <sz val="10"/>
        <color theme="1"/>
        <rFont val="Arial"/>
        <charset val="134"/>
      </rPr>
      <t xml:space="preserve"> Check</t>
    </r>
  </si>
  <si>
    <r>
      <rPr>
        <sz val="10"/>
        <color theme="1"/>
        <rFont val="Calibri"/>
        <charset val="134"/>
        <scheme val="minor"/>
      </rPr>
      <t xml:space="preserve">Volt / Turn [ </t>
    </r>
    <r>
      <rPr>
        <b/>
        <sz val="10"/>
        <color theme="1"/>
        <rFont val="Calibri"/>
        <charset val="134"/>
        <scheme val="minor"/>
      </rPr>
      <t>V</t>
    </r>
    <r>
      <rPr>
        <sz val="10"/>
        <color theme="1"/>
        <rFont val="Calibri"/>
        <charset val="134"/>
        <scheme val="minor"/>
      </rPr>
      <t xml:space="preserve"> ]</t>
    </r>
  </si>
  <si>
    <r>
      <rPr>
        <sz val="10"/>
        <color theme="1"/>
        <rFont val="Calibri"/>
        <charset val="134"/>
        <scheme val="minor"/>
      </rPr>
      <t xml:space="preserve">Vout [ </t>
    </r>
    <r>
      <rPr>
        <b/>
        <sz val="10"/>
        <color theme="1"/>
        <rFont val="Calibri"/>
        <charset val="134"/>
        <scheme val="minor"/>
      </rPr>
      <t>V</t>
    </r>
    <r>
      <rPr>
        <sz val="10"/>
        <color theme="1"/>
        <rFont val="Calibri"/>
        <charset val="134"/>
        <scheme val="minor"/>
      </rPr>
      <t xml:space="preserve"> ]</t>
    </r>
  </si>
  <si>
    <r>
      <rPr>
        <sz val="10"/>
        <color theme="1"/>
        <rFont val="Calibri"/>
        <charset val="134"/>
        <scheme val="minor"/>
      </rPr>
      <t xml:space="preserve">Iout [ </t>
    </r>
    <r>
      <rPr>
        <b/>
        <sz val="10"/>
        <color theme="1"/>
        <rFont val="Calibri"/>
        <charset val="134"/>
        <scheme val="minor"/>
      </rPr>
      <t>A</t>
    </r>
    <r>
      <rPr>
        <sz val="10"/>
        <color theme="1"/>
        <rFont val="Calibri"/>
        <charset val="134"/>
        <scheme val="minor"/>
      </rPr>
      <t xml:space="preserve"> ]</t>
    </r>
  </si>
  <si>
    <r>
      <rPr>
        <sz val="10"/>
        <color theme="1"/>
        <rFont val="Calibri"/>
        <charset val="134"/>
        <scheme val="minor"/>
      </rPr>
      <t xml:space="preserve">P [ </t>
    </r>
    <r>
      <rPr>
        <b/>
        <sz val="10"/>
        <color theme="1"/>
        <rFont val="Calibri"/>
        <charset val="134"/>
        <scheme val="minor"/>
      </rPr>
      <t>W</t>
    </r>
    <r>
      <rPr>
        <sz val="10"/>
        <color theme="1"/>
        <rFont val="Calibri"/>
        <charset val="134"/>
        <scheme val="minor"/>
      </rPr>
      <t xml:space="preserve"> ]</t>
    </r>
  </si>
  <si>
    <r>
      <rPr>
        <sz val="10"/>
        <color theme="1"/>
        <rFont val="Calibri"/>
        <charset val="134"/>
        <scheme val="minor"/>
      </rPr>
      <t xml:space="preserve">Iin [ </t>
    </r>
    <r>
      <rPr>
        <b/>
        <sz val="10"/>
        <color theme="1"/>
        <rFont val="Calibri"/>
        <charset val="134"/>
        <scheme val="minor"/>
      </rPr>
      <t>A</t>
    </r>
    <r>
      <rPr>
        <sz val="10"/>
        <color theme="1"/>
        <rFont val="Calibri"/>
        <charset val="134"/>
        <scheme val="minor"/>
      </rPr>
      <t xml:space="preserve"> ]</t>
    </r>
  </si>
  <si>
    <r>
      <rPr>
        <sz val="10"/>
        <color theme="1"/>
        <rFont val="Calibri"/>
        <charset val="134"/>
        <scheme val="minor"/>
      </rPr>
      <t>N</t>
    </r>
    <r>
      <rPr>
        <vertAlign val="subscript"/>
        <sz val="10"/>
        <color theme="1"/>
        <rFont val="Calibri"/>
        <charset val="134"/>
        <scheme val="minor"/>
      </rPr>
      <t>s</t>
    </r>
  </si>
  <si>
    <r>
      <rPr>
        <sz val="10"/>
        <color theme="1"/>
        <rFont val="Calibri"/>
        <charset val="134"/>
        <scheme val="minor"/>
      </rPr>
      <t xml:space="preserve">Current Density [ </t>
    </r>
    <r>
      <rPr>
        <b/>
        <sz val="10"/>
        <color theme="1"/>
        <rFont val="Calibri"/>
        <charset val="134"/>
        <scheme val="minor"/>
      </rPr>
      <t>A/mm</t>
    </r>
    <r>
      <rPr>
        <b/>
        <vertAlign val="superscript"/>
        <sz val="10"/>
        <color theme="1"/>
        <rFont val="Calibri"/>
        <charset val="134"/>
        <scheme val="minor"/>
      </rPr>
      <t>2</t>
    </r>
    <r>
      <rPr>
        <sz val="10"/>
        <color theme="1"/>
        <rFont val="Calibri"/>
        <charset val="134"/>
        <scheme val="minor"/>
      </rPr>
      <t xml:space="preserve"> ]</t>
    </r>
  </si>
  <si>
    <r>
      <rPr>
        <sz val="10"/>
        <color theme="1"/>
        <rFont val="Calibri"/>
        <charset val="134"/>
        <scheme val="minor"/>
      </rPr>
      <t>dW</t>
    </r>
    <r>
      <rPr>
        <vertAlign val="subscript"/>
        <sz val="10"/>
        <color theme="1"/>
        <rFont val="Calibri"/>
        <charset val="134"/>
        <scheme val="minor"/>
      </rPr>
      <t>p</t>
    </r>
    <r>
      <rPr>
        <sz val="10"/>
        <color theme="1"/>
        <rFont val="Calibri"/>
        <charset val="134"/>
        <scheme val="minor"/>
      </rPr>
      <t xml:space="preserve"> [ </t>
    </r>
    <r>
      <rPr>
        <b/>
        <sz val="10"/>
        <color theme="1"/>
        <rFont val="Calibri"/>
        <charset val="134"/>
        <scheme val="minor"/>
      </rPr>
      <t>mm</t>
    </r>
    <r>
      <rPr>
        <sz val="10"/>
        <color theme="1"/>
        <rFont val="Calibri"/>
        <charset val="134"/>
        <scheme val="minor"/>
      </rPr>
      <t xml:space="preserve"> ]</t>
    </r>
  </si>
  <si>
    <r>
      <rPr>
        <sz val="10"/>
        <color theme="1"/>
        <rFont val="Calibri"/>
        <charset val="134"/>
        <scheme val="minor"/>
      </rPr>
      <t>dW</t>
    </r>
    <r>
      <rPr>
        <vertAlign val="subscript"/>
        <sz val="10"/>
        <color theme="1"/>
        <rFont val="Calibri"/>
        <charset val="134"/>
        <scheme val="minor"/>
      </rPr>
      <t>s</t>
    </r>
    <r>
      <rPr>
        <sz val="10"/>
        <color theme="1"/>
        <rFont val="Calibri"/>
        <charset val="134"/>
        <scheme val="minor"/>
      </rPr>
      <t xml:space="preserve"> [ </t>
    </r>
    <r>
      <rPr>
        <b/>
        <sz val="10"/>
        <color theme="1"/>
        <rFont val="Calibri"/>
        <charset val="134"/>
        <scheme val="minor"/>
      </rPr>
      <t>mm</t>
    </r>
    <r>
      <rPr>
        <sz val="10"/>
        <color theme="1"/>
        <rFont val="Calibri"/>
        <charset val="134"/>
        <scheme val="minor"/>
      </rPr>
      <t xml:space="preserve"> ]</t>
    </r>
  </si>
  <si>
    <t>p</t>
  </si>
  <si>
    <t>s</t>
  </si>
  <si>
    <r>
      <rPr>
        <sz val="10"/>
        <color theme="1"/>
        <rFont val="Arial"/>
        <charset val="134"/>
      </rPr>
      <t xml:space="preserve">ID [ </t>
    </r>
    <r>
      <rPr>
        <b/>
        <sz val="10"/>
        <color theme="1"/>
        <rFont val="Arial Bold"/>
        <charset val="134"/>
      </rPr>
      <t>mm</t>
    </r>
    <r>
      <rPr>
        <sz val="10"/>
        <color theme="1"/>
        <rFont val="Arial"/>
        <charset val="134"/>
      </rPr>
      <t xml:space="preserve"> ]</t>
    </r>
  </si>
  <si>
    <r>
      <rPr>
        <sz val="10"/>
        <color theme="1"/>
        <rFont val="Arial"/>
        <charset val="134"/>
      </rPr>
      <t xml:space="preserve">OD [ </t>
    </r>
    <r>
      <rPr>
        <b/>
        <sz val="10"/>
        <color theme="1"/>
        <rFont val="Arial Bold"/>
        <charset val="134"/>
      </rPr>
      <t>mm</t>
    </r>
    <r>
      <rPr>
        <sz val="10"/>
        <color theme="1"/>
        <rFont val="Arial"/>
        <charset val="134"/>
      </rPr>
      <t xml:space="preserve"> ]</t>
    </r>
  </si>
  <si>
    <r>
      <rPr>
        <sz val="10"/>
        <color theme="1"/>
        <rFont val="Arial"/>
        <charset val="134"/>
      </rPr>
      <t xml:space="preserve">H [ </t>
    </r>
    <r>
      <rPr>
        <b/>
        <sz val="10"/>
        <color theme="1"/>
        <rFont val="Arial Bold"/>
        <charset val="134"/>
      </rPr>
      <t>mm</t>
    </r>
    <r>
      <rPr>
        <sz val="10"/>
        <color theme="1"/>
        <rFont val="Arial"/>
        <charset val="134"/>
      </rPr>
      <t xml:space="preserve"> ]</t>
    </r>
  </si>
  <si>
    <r>
      <rPr>
        <sz val="10"/>
        <color theme="1"/>
        <rFont val="Arial"/>
        <charset val="134"/>
      </rPr>
      <t>A</t>
    </r>
    <r>
      <rPr>
        <vertAlign val="subscript"/>
        <sz val="10"/>
        <color theme="1"/>
        <rFont val="Arial"/>
        <charset val="134"/>
      </rPr>
      <t>e</t>
    </r>
    <r>
      <rPr>
        <sz val="10"/>
        <color theme="1"/>
        <rFont val="Arial"/>
        <charset val="134"/>
      </rPr>
      <t xml:space="preserve"> = (( OD – ID ) × H) / 2 [ </t>
    </r>
    <r>
      <rPr>
        <b/>
        <sz val="10"/>
        <color theme="1"/>
        <rFont val="Arial Bold"/>
        <charset val="134"/>
      </rPr>
      <t>mm</t>
    </r>
    <r>
      <rPr>
        <b/>
        <vertAlign val="superscript"/>
        <sz val="10"/>
        <color theme="1"/>
        <rFont val="Arial Bold"/>
        <charset val="134"/>
      </rPr>
      <t>2</t>
    </r>
    <r>
      <rPr>
        <sz val="10"/>
        <color theme="1"/>
        <rFont val="Arial"/>
        <charset val="134"/>
      </rPr>
      <t xml:space="preserve"> ]</t>
    </r>
  </si>
  <si>
    <r>
      <rPr>
        <sz val="10"/>
        <color theme="1"/>
        <rFont val="Calibri"/>
        <charset val="134"/>
        <scheme val="minor"/>
      </rPr>
      <t>N</t>
    </r>
    <r>
      <rPr>
        <vertAlign val="subscript"/>
        <sz val="10"/>
        <color theme="1"/>
        <rFont val="Calibri"/>
        <charset val="134"/>
        <scheme val="minor"/>
      </rPr>
      <t>p</t>
    </r>
    <r>
      <rPr>
        <sz val="10"/>
        <color theme="1"/>
        <rFont val="Calibri"/>
        <charset val="134"/>
        <scheme val="minor"/>
      </rPr>
      <t xml:space="preserve"> = V</t>
    </r>
    <r>
      <rPr>
        <vertAlign val="subscript"/>
        <sz val="10"/>
        <color theme="1"/>
        <rFont val="Calibri"/>
        <charset val="134"/>
        <scheme val="minor"/>
      </rPr>
      <t>in</t>
    </r>
    <r>
      <rPr>
        <sz val="10"/>
        <color theme="1"/>
        <rFont val="Calibri"/>
        <charset val="134"/>
        <scheme val="minor"/>
      </rPr>
      <t xml:space="preserve"> × D × 10</t>
    </r>
    <r>
      <rPr>
        <vertAlign val="superscript"/>
        <sz val="10"/>
        <color theme="1"/>
        <rFont val="Calibri"/>
        <charset val="134"/>
        <scheme val="minor"/>
      </rPr>
      <t>10</t>
    </r>
    <r>
      <rPr>
        <sz val="10"/>
        <color theme="1"/>
        <rFont val="Calibri"/>
        <charset val="134"/>
        <scheme val="minor"/>
      </rPr>
      <t xml:space="preserve"> / ( 2 × ƒ × B</t>
    </r>
    <r>
      <rPr>
        <vertAlign val="subscript"/>
        <sz val="10"/>
        <color theme="1"/>
        <rFont val="Calibri"/>
        <charset val="134"/>
        <scheme val="minor"/>
      </rPr>
      <t>max</t>
    </r>
    <r>
      <rPr>
        <sz val="10"/>
        <color theme="1"/>
        <rFont val="Calibri"/>
        <charset val="134"/>
        <scheme val="minor"/>
      </rPr>
      <t xml:space="preserve"> × A</t>
    </r>
    <r>
      <rPr>
        <vertAlign val="subscript"/>
        <sz val="10"/>
        <color theme="1"/>
        <rFont val="Calibri"/>
        <charset val="134"/>
        <scheme val="minor"/>
      </rPr>
      <t>e</t>
    </r>
    <r>
      <rPr>
        <sz val="10"/>
        <color theme="1"/>
        <rFont val="Calibri"/>
        <charset val="134"/>
        <scheme val="minor"/>
      </rPr>
      <t xml:space="preserve"> )</t>
    </r>
  </si>
  <si>
    <t>Vrms</t>
  </si>
  <si>
    <t>AS157125A</t>
  </si>
  <si>
    <t>NPS157060</t>
  </si>
  <si>
    <t>CS229090</t>
  </si>
  <si>
    <t>f</t>
  </si>
  <si>
    <t>Hz</t>
  </si>
  <si>
    <r>
      <rPr>
        <sz val="10"/>
        <color theme="1"/>
        <rFont val="Calibri"/>
        <charset val="134"/>
        <scheme val="minor"/>
      </rPr>
      <t>R</t>
    </r>
    <r>
      <rPr>
        <vertAlign val="subscript"/>
        <sz val="10"/>
        <color theme="1"/>
        <rFont val="Calibri"/>
        <charset val="134"/>
        <scheme val="minor"/>
      </rPr>
      <t>BTL</t>
    </r>
  </si>
  <si>
    <t>Ω</t>
  </si>
  <si>
    <r>
      <rPr>
        <sz val="10"/>
        <color theme="1"/>
        <rFont val="Calibri"/>
        <charset val="134"/>
        <scheme val="minor"/>
      </rPr>
      <t>R</t>
    </r>
    <r>
      <rPr>
        <vertAlign val="subscript"/>
        <sz val="10"/>
        <color theme="1"/>
        <rFont val="Calibri"/>
        <charset val="134"/>
        <scheme val="minor"/>
      </rPr>
      <t>L</t>
    </r>
    <r>
      <rPr>
        <sz val="10"/>
        <color theme="1"/>
        <rFont val="Calibri"/>
        <charset val="134"/>
        <scheme val="minor"/>
      </rPr>
      <t xml:space="preserve"> = R</t>
    </r>
    <r>
      <rPr>
        <vertAlign val="subscript"/>
        <sz val="10"/>
        <color theme="1"/>
        <rFont val="Calibri"/>
        <charset val="134"/>
        <scheme val="minor"/>
      </rPr>
      <t>BTL</t>
    </r>
    <r>
      <rPr>
        <sz val="10"/>
        <color theme="1"/>
        <rFont val="Calibri"/>
        <charset val="134"/>
        <scheme val="minor"/>
      </rPr>
      <t>/2</t>
    </r>
  </si>
  <si>
    <r>
      <rPr>
        <sz val="10"/>
        <color theme="1"/>
        <rFont val="Calibri"/>
        <charset val="134"/>
        <scheme val="minor"/>
      </rPr>
      <t>L</t>
    </r>
    <r>
      <rPr>
        <vertAlign val="subscript"/>
        <sz val="10"/>
        <color theme="1"/>
        <rFont val="Calibri"/>
        <charset val="134"/>
        <scheme val="minor"/>
      </rPr>
      <t>BTL</t>
    </r>
    <r>
      <rPr>
        <sz val="10"/>
        <color theme="1"/>
        <rFont val="Calibri"/>
        <charset val="134"/>
        <scheme val="minor"/>
      </rPr>
      <t xml:space="preserve"> = R</t>
    </r>
    <r>
      <rPr>
        <vertAlign val="subscript"/>
        <sz val="10"/>
        <color theme="1"/>
        <rFont val="Calibri"/>
        <charset val="134"/>
        <scheme val="minor"/>
      </rPr>
      <t>L</t>
    </r>
    <r>
      <rPr>
        <sz val="10"/>
        <color theme="1"/>
        <rFont val="Calibri"/>
        <charset val="134"/>
        <scheme val="minor"/>
      </rPr>
      <t xml:space="preserve"> √2 / 2πf</t>
    </r>
  </si>
  <si>
    <t>µH</t>
  </si>
  <si>
    <t>Under-damped</t>
  </si>
  <si>
    <r>
      <rPr>
        <sz val="10"/>
        <color theme="1"/>
        <rFont val="Calibri"/>
        <charset val="134"/>
        <scheme val="minor"/>
      </rPr>
      <t>C</t>
    </r>
    <r>
      <rPr>
        <vertAlign val="subscript"/>
        <sz val="10"/>
        <color theme="1"/>
        <rFont val="Calibri"/>
        <charset val="134"/>
        <scheme val="minor"/>
      </rPr>
      <t>L</t>
    </r>
    <r>
      <rPr>
        <sz val="10"/>
        <color theme="1"/>
        <rFont val="Calibri"/>
        <charset val="134"/>
        <scheme val="minor"/>
      </rPr>
      <t xml:space="preserve"> = 1/(2πf R</t>
    </r>
    <r>
      <rPr>
        <vertAlign val="subscript"/>
        <sz val="10"/>
        <color theme="1"/>
        <rFont val="Calibri"/>
        <charset val="134"/>
        <scheme val="minor"/>
      </rPr>
      <t>L</t>
    </r>
    <r>
      <rPr>
        <sz val="10"/>
        <color theme="1"/>
        <rFont val="Calibri"/>
        <charset val="134"/>
        <scheme val="minor"/>
      </rPr>
      <t xml:space="preserve"> √2)</t>
    </r>
  </si>
  <si>
    <t>nF</t>
  </si>
  <si>
    <t>Critically-damped</t>
  </si>
  <si>
    <r>
      <rPr>
        <sz val="10"/>
        <color theme="1"/>
        <rFont val="Calibri"/>
        <charset val="134"/>
        <scheme val="minor"/>
      </rPr>
      <t>C</t>
    </r>
    <r>
      <rPr>
        <vertAlign val="subscript"/>
        <sz val="10"/>
        <color theme="1"/>
        <rFont val="Calibri"/>
        <charset val="134"/>
        <scheme val="minor"/>
      </rPr>
      <t>BTL</t>
    </r>
    <r>
      <rPr>
        <sz val="10"/>
        <color theme="1"/>
        <rFont val="Calibri"/>
        <charset val="134"/>
        <scheme val="minor"/>
      </rPr>
      <t xml:space="preserve"> = C</t>
    </r>
    <r>
      <rPr>
        <vertAlign val="subscript"/>
        <sz val="10"/>
        <color theme="1"/>
        <rFont val="Calibri"/>
        <charset val="134"/>
        <scheme val="minor"/>
      </rPr>
      <t>L</t>
    </r>
    <r>
      <rPr>
        <sz val="10"/>
        <color theme="1"/>
        <rFont val="Calibri"/>
        <charset val="134"/>
        <scheme val="minor"/>
      </rPr>
      <t>/2</t>
    </r>
  </si>
  <si>
    <t>Over-damped</t>
  </si>
  <si>
    <r>
      <rPr>
        <sz val="10"/>
        <color theme="1"/>
        <rFont val="Calibri"/>
        <charset val="134"/>
        <scheme val="minor"/>
      </rPr>
      <t>L</t>
    </r>
    <r>
      <rPr>
        <vertAlign val="subscript"/>
        <sz val="10"/>
        <color theme="1"/>
        <rFont val="Calibri"/>
        <charset val="134"/>
        <scheme val="minor"/>
      </rPr>
      <t>BTL</t>
    </r>
  </si>
  <si>
    <r>
      <rPr>
        <sz val="10"/>
        <color theme="1"/>
        <rFont val="Calibri"/>
        <charset val="134"/>
        <scheme val="minor"/>
      </rPr>
      <t>C</t>
    </r>
    <r>
      <rPr>
        <vertAlign val="subscript"/>
        <sz val="10"/>
        <color theme="1"/>
        <rFont val="Calibri"/>
        <charset val="134"/>
        <scheme val="minor"/>
      </rPr>
      <t>BTL</t>
    </r>
  </si>
  <si>
    <r>
      <rPr>
        <sz val="10"/>
        <color theme="1"/>
        <rFont val="Calibri"/>
        <charset val="134"/>
        <scheme val="minor"/>
      </rPr>
      <t>C</t>
    </r>
    <r>
      <rPr>
        <vertAlign val="subscript"/>
        <sz val="10"/>
        <color theme="1"/>
        <rFont val="Calibri"/>
        <charset val="134"/>
        <scheme val="minor"/>
      </rPr>
      <t>L</t>
    </r>
    <r>
      <rPr>
        <sz val="10"/>
        <color theme="1"/>
        <rFont val="Calibri"/>
        <charset val="134"/>
        <scheme val="minor"/>
      </rPr>
      <t xml:space="preserve"> = 2 C</t>
    </r>
    <r>
      <rPr>
        <vertAlign val="subscript"/>
        <sz val="10"/>
        <color theme="1"/>
        <rFont val="Calibri"/>
        <charset val="134"/>
        <scheme val="minor"/>
      </rPr>
      <t>BTL</t>
    </r>
  </si>
  <si>
    <r>
      <rPr>
        <sz val="10"/>
        <color theme="1"/>
        <rFont val="Calibri"/>
        <charset val="134"/>
        <scheme val="minor"/>
      </rPr>
      <t>Q = R</t>
    </r>
    <r>
      <rPr>
        <vertAlign val="subscript"/>
        <sz val="10"/>
        <color theme="1"/>
        <rFont val="Calibri"/>
        <charset val="134"/>
        <scheme val="minor"/>
      </rPr>
      <t>L</t>
    </r>
    <r>
      <rPr>
        <sz val="10"/>
        <color theme="1"/>
        <rFont val="Calibri"/>
        <charset val="134"/>
        <scheme val="minor"/>
      </rPr>
      <t>/√(C</t>
    </r>
    <r>
      <rPr>
        <vertAlign val="subscript"/>
        <sz val="10"/>
        <color theme="1"/>
        <rFont val="Calibri"/>
        <charset val="134"/>
        <scheme val="minor"/>
      </rPr>
      <t>L</t>
    </r>
    <r>
      <rPr>
        <sz val="10"/>
        <color theme="1"/>
        <rFont val="Calibri"/>
        <charset val="134"/>
        <scheme val="minor"/>
      </rPr>
      <t>/L)</t>
    </r>
  </si>
  <si>
    <r>
      <rPr>
        <sz val="10"/>
        <color theme="1"/>
        <rFont val="Calibri"/>
        <charset val="134"/>
        <scheme val="minor"/>
      </rPr>
      <t>f₀ = 1/(2π√LC</t>
    </r>
    <r>
      <rPr>
        <vertAlign val="subscript"/>
        <sz val="10"/>
        <color theme="1"/>
        <rFont val="Calibri"/>
        <charset val="134"/>
        <scheme val="minor"/>
      </rPr>
      <t>L</t>
    </r>
    <r>
      <rPr>
        <sz val="10"/>
        <color theme="1"/>
        <rFont val="Calibri"/>
        <charset val="134"/>
        <scheme val="minor"/>
      </rPr>
      <t>)</t>
    </r>
  </si>
  <si>
    <r>
      <rPr>
        <sz val="10"/>
        <color theme="1"/>
        <rFont val="Calibri"/>
        <charset val="134"/>
        <scheme val="minor"/>
      </rPr>
      <t>⍵</t>
    </r>
    <r>
      <rPr>
        <vertAlign val="subscript"/>
        <sz val="10"/>
        <color theme="1"/>
        <rFont val="Calibri"/>
        <charset val="134"/>
        <scheme val="minor"/>
      </rPr>
      <t>0</t>
    </r>
    <r>
      <rPr>
        <sz val="10"/>
        <color theme="1"/>
        <rFont val="Calibri"/>
        <charset val="134"/>
        <scheme val="minor"/>
      </rPr>
      <t xml:space="preserve"> = 20 log</t>
    </r>
    <r>
      <rPr>
        <vertAlign val="subscript"/>
        <sz val="10"/>
        <color theme="1"/>
        <rFont val="Calibri"/>
        <charset val="134"/>
        <scheme val="minor"/>
      </rPr>
      <t>10</t>
    </r>
    <r>
      <rPr>
        <sz val="10"/>
        <color theme="1"/>
        <rFont val="Calibri"/>
        <charset val="134"/>
        <scheme val="minor"/>
      </rPr>
      <t>(Q)</t>
    </r>
  </si>
  <si>
    <t>dB</t>
  </si>
  <si>
    <t>ON</t>
  </si>
  <si>
    <t>OFF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</si>
</sst>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41" formatCode="_(* #,##0_);_(* \(#,##0\);_(* &quot;-&quot;_);_(@_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_ "/>
    <numFmt numFmtId="179" formatCode="0.000_ "/>
    <numFmt numFmtId="180" formatCode="_ * #,##0_ ;_ * \-#,##0_ ;_ * &quot;-&quot;??_ ;_ @_ "/>
    <numFmt numFmtId="181" formatCode="_ * #,##0.0000_ ;_ * \-#,##0.0000_ ;_ * &quot;-&quot;??.0000_ ;_ @_ "/>
    <numFmt numFmtId="182" formatCode="_ * #,##0.0000000_ ;_ * \-#,##0.0000000_ ;_ * &quot;-&quot;??.0000000_ ;_ @_ "/>
    <numFmt numFmtId="183" formatCode="_ * #,##0.0_ ;_ * \-#,##0.0_ ;_ * &quot;-&quot;??.0_ ;_ @_ "/>
    <numFmt numFmtId="184" formatCode="_ * #,##0.000_ ;_ * \-#,##0.000_ ;_ * &quot;-&quot;??.000_ ;_ @_ "/>
    <numFmt numFmtId="185" formatCode="_ * #,##0.00000000_ ;_ * \-#,##0.00000000_ ;_ * &quot;-&quot;??.00000000_ ;_ @_ "/>
    <numFmt numFmtId="186" formatCode="_ * #,##0.00_ ;_ * \-#,##0.00_ ;_ * &quot;-&quot;??.00_ ;_ @_ "/>
    <numFmt numFmtId="187" formatCode="_(* #,##0.000_);_(* \(#,##0.000\);_(* &quot;-&quot;_);_(@_)"/>
    <numFmt numFmtId="188" formatCode="0.00_ "/>
    <numFmt numFmtId="189" formatCode="_(* #,##0.00_);_(* \(#,##0.00\);_(* &quot;-&quot;_);_(@_)"/>
    <numFmt numFmtId="190" formatCode="_(* #,##0.0000_);_(* \(#,##0.0000\);_(* &quot;-&quot;_);_(@_)"/>
  </numFmts>
  <fonts count="30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color theme="1"/>
      <name val="Arial Bold"/>
      <charset val="134"/>
    </font>
    <font>
      <vertAlign val="subscript"/>
      <sz val="10"/>
      <color theme="1"/>
      <name val="Calibri"/>
      <charset val="134"/>
      <scheme val="minor"/>
    </font>
    <font>
      <vertAlign val="subscript"/>
      <sz val="10"/>
      <color theme="1"/>
      <name val="Arial"/>
      <charset val="134"/>
    </font>
    <font>
      <vertAlign val="superscript"/>
      <sz val="10"/>
      <color theme="1"/>
      <name val="Arial"/>
      <charset val="134"/>
    </font>
    <font>
      <b/>
      <vertAlign val="superscript"/>
      <sz val="10"/>
      <color theme="1"/>
      <name val="Arial Bold"/>
      <charset val="134"/>
    </font>
    <font>
      <b/>
      <vertAlign val="superscript"/>
      <sz val="10"/>
      <color theme="1"/>
      <name val="Calibri"/>
      <charset val="134"/>
      <scheme val="minor"/>
    </font>
    <font>
      <vertAlign val="superscript"/>
      <sz val="10"/>
      <color theme="1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0" borderId="0" xfId="1" applyNumberFormat="1" applyFont="1" applyAlignment="1">
      <alignment horizontal="left" vertical="center"/>
    </xf>
    <xf numFmtId="180" fontId="1" fillId="2" borderId="0" xfId="1" applyNumberFormat="1" applyFont="1" applyFill="1">
      <alignment vertical="center"/>
    </xf>
    <xf numFmtId="180" fontId="1" fillId="0" borderId="0" xfId="1" applyNumberFormat="1" applyFont="1">
      <alignment vertical="center"/>
    </xf>
    <xf numFmtId="180" fontId="1" fillId="3" borderId="0" xfId="1" applyNumberFormat="1" applyFont="1" applyFill="1">
      <alignment vertical="center"/>
    </xf>
    <xf numFmtId="181" fontId="1" fillId="2" borderId="0" xfId="1" applyNumberFormat="1" applyFont="1" applyFill="1">
      <alignment vertical="center"/>
    </xf>
    <xf numFmtId="178" fontId="1" fillId="2" borderId="0" xfId="1" applyNumberFormat="1" applyFont="1" applyFill="1">
      <alignment vertical="center"/>
    </xf>
    <xf numFmtId="181" fontId="1" fillId="0" borderId="0" xfId="1" applyNumberFormat="1" applyFont="1">
      <alignment vertical="center"/>
    </xf>
    <xf numFmtId="178" fontId="1" fillId="0" borderId="0" xfId="1" applyNumberFormat="1" applyFont="1">
      <alignment vertical="center"/>
    </xf>
    <xf numFmtId="181" fontId="1" fillId="3" borderId="0" xfId="1" applyNumberFormat="1" applyFont="1" applyFill="1">
      <alignment vertical="center"/>
    </xf>
    <xf numFmtId="178" fontId="1" fillId="3" borderId="0" xfId="1" applyNumberFormat="1" applyFont="1" applyFill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182" fontId="1" fillId="0" borderId="0" xfId="1" applyNumberFormat="1" applyFont="1">
      <alignment vertical="center"/>
    </xf>
    <xf numFmtId="183" fontId="1" fillId="0" borderId="0" xfId="1" applyNumberFormat="1" applyFont="1">
      <alignment vertical="center"/>
    </xf>
    <xf numFmtId="180" fontId="1" fillId="0" borderId="0" xfId="1" applyNumberFormat="1" applyFont="1" applyAlignment="1">
      <alignment horizontal="left" vertical="center"/>
    </xf>
    <xf numFmtId="183" fontId="1" fillId="0" borderId="0" xfId="0" applyNumberFormat="1" applyFont="1">
      <alignment vertical="center"/>
    </xf>
    <xf numFmtId="0" fontId="1" fillId="0" borderId="0" xfId="1" applyNumberFormat="1" applyFont="1">
      <alignment vertical="center"/>
    </xf>
    <xf numFmtId="182" fontId="1" fillId="0" borderId="0" xfId="0" applyNumberFormat="1" applyFont="1">
      <alignment vertical="center"/>
    </xf>
    <xf numFmtId="0" fontId="2" fillId="0" borderId="0" xfId="1" applyNumberFormat="1" applyFont="1" applyAlignment="1">
      <alignment horizontal="center" vertical="center"/>
    </xf>
    <xf numFmtId="184" fontId="1" fillId="0" borderId="0" xfId="1" applyNumberFormat="1" applyFont="1">
      <alignment vertical="center"/>
    </xf>
    <xf numFmtId="185" fontId="1" fillId="0" borderId="0" xfId="1" applyNumberFormat="1" applyFont="1">
      <alignment vertical="center"/>
    </xf>
    <xf numFmtId="186" fontId="1" fillId="0" borderId="0" xfId="1" applyNumberFormat="1" applyFont="1">
      <alignment vertical="center"/>
    </xf>
    <xf numFmtId="0" fontId="1" fillId="4" borderId="0" xfId="0" applyFont="1" applyFill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/>
    </xf>
    <xf numFmtId="41" fontId="1" fillId="0" borderId="0" xfId="1" applyNumberFormat="1" applyFont="1">
      <alignment vertical="center"/>
    </xf>
    <xf numFmtId="41" fontId="1" fillId="4" borderId="0" xfId="1" applyNumberFormat="1" applyFont="1" applyFill="1">
      <alignment vertical="center"/>
    </xf>
    <xf numFmtId="41" fontId="1" fillId="2" borderId="0" xfId="1" applyNumberFormat="1" applyFont="1" applyFill="1">
      <alignment vertical="center"/>
    </xf>
    <xf numFmtId="0" fontId="1" fillId="2" borderId="0" xfId="0" applyFont="1" applyFill="1">
      <alignment vertical="center"/>
    </xf>
    <xf numFmtId="187" fontId="1" fillId="0" borderId="0" xfId="0" applyNumberFormat="1" applyFont="1">
      <alignment vertical="center"/>
    </xf>
    <xf numFmtId="187" fontId="1" fillId="4" borderId="0" xfId="0" applyNumberFormat="1" applyFont="1" applyFill="1">
      <alignment vertical="center"/>
    </xf>
    <xf numFmtId="187" fontId="1" fillId="2" borderId="0" xfId="0" applyNumberFormat="1" applyFont="1" applyFill="1">
      <alignment vertical="center"/>
    </xf>
    <xf numFmtId="188" fontId="1" fillId="0" borderId="0" xfId="0" applyNumberFormat="1" applyFont="1">
      <alignment vertical="center"/>
    </xf>
    <xf numFmtId="189" fontId="1" fillId="0" borderId="0" xfId="0" applyNumberFormat="1" applyFont="1">
      <alignment vertical="center"/>
    </xf>
    <xf numFmtId="188" fontId="1" fillId="4" borderId="0" xfId="0" applyNumberFormat="1" applyFont="1" applyFill="1">
      <alignment vertical="center"/>
    </xf>
    <xf numFmtId="189" fontId="1" fillId="4" borderId="0" xfId="0" applyNumberFormat="1" applyFont="1" applyFill="1">
      <alignment vertical="center"/>
    </xf>
    <xf numFmtId="188" fontId="1" fillId="2" borderId="0" xfId="0" applyNumberFormat="1" applyFont="1" applyFill="1">
      <alignment vertical="center"/>
    </xf>
    <xf numFmtId="189" fontId="1" fillId="2" borderId="0" xfId="0" applyNumberFormat="1" applyFont="1" applyFill="1">
      <alignment vertical="center"/>
    </xf>
    <xf numFmtId="41" fontId="1" fillId="0" borderId="0" xfId="0" applyNumberFormat="1" applyFont="1">
      <alignment vertical="center"/>
    </xf>
    <xf numFmtId="41" fontId="1" fillId="4" borderId="0" xfId="0" applyNumberFormat="1" applyFont="1" applyFill="1">
      <alignment vertical="center"/>
    </xf>
    <xf numFmtId="41" fontId="1" fillId="2" borderId="0" xfId="0" applyNumberFormat="1" applyFont="1" applyFill="1">
      <alignment vertical="center"/>
    </xf>
    <xf numFmtId="0" fontId="1" fillId="0" borderId="0" xfId="0" applyFont="1" applyAlignment="1">
      <alignment vertical="center"/>
    </xf>
    <xf numFmtId="41" fontId="1" fillId="0" borderId="0" xfId="0" applyNumberFormat="1" applyFont="1" applyAlignment="1">
      <alignment horizontal="center" vertical="center"/>
    </xf>
    <xf numFmtId="190" fontId="1" fillId="0" borderId="0" xfId="1" applyNumberFormat="1" applyFont="1">
      <alignment vertical="center"/>
    </xf>
    <xf numFmtId="41" fontId="1" fillId="0" borderId="0" xfId="1" applyNumberFormat="1" applyFont="1" applyAlignment="1">
      <alignment horizontal="center" vertical="center"/>
    </xf>
    <xf numFmtId="190" fontId="1" fillId="0" borderId="0" xfId="1" applyNumberFormat="1" applyFont="1" applyAlignment="1">
      <alignment horizontal="center" vertical="center"/>
    </xf>
    <xf numFmtId="178" fontId="1" fillId="0" borderId="0" xfId="0" applyNumberFormat="1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3"/>
  <sheetViews>
    <sheetView workbookViewId="0">
      <selection activeCell="J4" sqref="J4"/>
    </sheetView>
  </sheetViews>
  <sheetFormatPr defaultColWidth="9" defaultRowHeight="14.4"/>
  <cols>
    <col min="1" max="1" width="5.5625" style="43" customWidth="1"/>
    <col min="2" max="4" width="10.5625" style="43" customWidth="1"/>
    <col min="5" max="5" width="20.5625" style="43" customWidth="1"/>
    <col min="6" max="6" width="15.5625" style="43" customWidth="1"/>
    <col min="7" max="7" width="30.5625" style="47" customWidth="1"/>
    <col min="8" max="8" width="10.5625" style="43" customWidth="1"/>
    <col min="9" max="9" width="15.5625" style="15" customWidth="1"/>
    <col min="10" max="13" width="10.5625" style="15" customWidth="1"/>
    <col min="14" max="14" width="9" style="15"/>
    <col min="15" max="15" width="20.5625" style="15" customWidth="1"/>
    <col min="16" max="17" width="10.5625" style="15" customWidth="1"/>
    <col min="18" max="16384" width="9" style="15"/>
  </cols>
  <sheetData>
    <row r="1" spans="1:8">
      <c r="A1" s="15"/>
      <c r="B1" s="15"/>
      <c r="C1" s="15"/>
      <c r="D1" s="15"/>
      <c r="E1" s="15"/>
      <c r="F1" s="15"/>
      <c r="G1" s="28"/>
      <c r="H1" s="15"/>
    </row>
    <row r="2" s="46" customFormat="1" ht="18" spans="1:21">
      <c r="A2" s="28" t="s">
        <v>0</v>
      </c>
      <c r="B2" s="29" t="s">
        <v>1</v>
      </c>
      <c r="C2" s="29" t="s">
        <v>2</v>
      </c>
      <c r="D2" s="29" t="s">
        <v>3</v>
      </c>
      <c r="E2" s="29" t="s">
        <v>4</v>
      </c>
      <c r="F2" s="29" t="s">
        <v>5</v>
      </c>
      <c r="G2" s="28" t="s">
        <v>6</v>
      </c>
      <c r="H2" s="29" t="s">
        <v>7</v>
      </c>
      <c r="I2" s="28" t="s">
        <v>8</v>
      </c>
      <c r="J2" s="28" t="s">
        <v>9</v>
      </c>
      <c r="K2" s="28" t="s">
        <v>10</v>
      </c>
      <c r="L2" s="28" t="s">
        <v>11</v>
      </c>
      <c r="M2" s="28" t="s">
        <v>12</v>
      </c>
      <c r="N2" s="28" t="s">
        <v>13</v>
      </c>
      <c r="O2" s="28" t="s">
        <v>14</v>
      </c>
      <c r="P2" s="28" t="s">
        <v>15</v>
      </c>
      <c r="Q2" s="28" t="s">
        <v>16</v>
      </c>
      <c r="R2" s="28" t="s">
        <v>17</v>
      </c>
      <c r="S2" s="28" t="s">
        <v>18</v>
      </c>
      <c r="T2" s="28" t="s">
        <v>17</v>
      </c>
      <c r="U2" s="28" t="s">
        <v>18</v>
      </c>
    </row>
    <row r="3" spans="1:21">
      <c r="A3" s="30">
        <v>1</v>
      </c>
      <c r="B3" s="30">
        <v>72</v>
      </c>
      <c r="C3" s="30">
        <v>400000</v>
      </c>
      <c r="D3" s="30">
        <v>10</v>
      </c>
      <c r="E3" s="48">
        <f>3.14*POWER(D3,2)/4</f>
        <v>78.5</v>
      </c>
      <c r="F3" s="48">
        <v>1898.58</v>
      </c>
      <c r="G3" s="49">
        <f>(B3*POWER(10,10))/(4*C3*F3*E3)</f>
        <v>3.01935345175506</v>
      </c>
      <c r="H3" s="50" t="str">
        <f>IF((B3*POWER(10,10))/(4*C3*G3*E3)&gt;1200,IF((B3*POWER(10,10))/(4*C3*G3*E3)&lt;2000,"OK","NG"),"NG")</f>
        <v>OK</v>
      </c>
      <c r="I3" s="43">
        <f>B3/G3</f>
        <v>23.8461648</v>
      </c>
      <c r="J3" s="43">
        <f>B3*3</f>
        <v>216</v>
      </c>
      <c r="K3" s="38">
        <v>0.5</v>
      </c>
      <c r="L3" s="43">
        <f>J3*K3</f>
        <v>108</v>
      </c>
      <c r="M3" s="38">
        <f>L3/B3</f>
        <v>1.5</v>
      </c>
      <c r="N3" s="43">
        <f>J3/I3</f>
        <v>9.05806035526518</v>
      </c>
      <c r="O3" s="43">
        <v>1.5</v>
      </c>
      <c r="P3" s="51">
        <f>SQRT((M3*0.9/(O3+5))/0.9)</f>
        <v>0.480384461415261</v>
      </c>
      <c r="Q3" s="51">
        <f>SQRT((K3*0.9/(O3+5))/0.9)</f>
        <v>0.277350098112615</v>
      </c>
      <c r="R3" s="15">
        <v>1</v>
      </c>
      <c r="S3" s="15">
        <v>1</v>
      </c>
      <c r="T3" s="15">
        <f>IF(((M3*0.9/(O3+5)))/(R3*R3*1)&lt;1,1,((M3*0.9/(O3+5))/(R3*R3*1)))</f>
        <v>1</v>
      </c>
      <c r="U3" s="15">
        <f>IF(((K3*0.9/(O3+5)))/(S3*S3*1)&lt;1,1,((K3*0.9/(O3+5))/(S3*S3*1)))</f>
        <v>1</v>
      </c>
    </row>
    <row r="4" spans="1:21">
      <c r="A4" s="30">
        <v>2</v>
      </c>
      <c r="B4" s="30">
        <v>72</v>
      </c>
      <c r="C4" s="30">
        <v>400000</v>
      </c>
      <c r="D4" s="30">
        <v>10</v>
      </c>
      <c r="E4" s="48">
        <f>3.14*POWER(D4,2)/4</f>
        <v>78.5</v>
      </c>
      <c r="F4" s="48">
        <v>1898.58</v>
      </c>
      <c r="G4" s="49">
        <f>(B4*POWER(10,10))/(4*C4*F4*E4)</f>
        <v>3.01935345175506</v>
      </c>
      <c r="H4" s="50" t="str">
        <f>IF((B4*POWER(10,10))/(4*C4*G4*E4)&gt;1200,IF((B4*POWER(10,10))/(4*C4*G4*E4)&lt;2000,"OK","NG"),"NG")</f>
        <v>OK</v>
      </c>
      <c r="I4" s="43">
        <f>B4/G4</f>
        <v>23.8461648</v>
      </c>
      <c r="J4" s="43">
        <f>B4*3</f>
        <v>216</v>
      </c>
      <c r="K4" s="38">
        <v>0.5</v>
      </c>
      <c r="L4" s="43">
        <f>J4*K4</f>
        <v>108</v>
      </c>
      <c r="M4" s="38">
        <f>L4/B4</f>
        <v>1.5</v>
      </c>
      <c r="N4" s="43">
        <f>J4/I4</f>
        <v>9.05806035526518</v>
      </c>
      <c r="O4" s="43">
        <v>1.5</v>
      </c>
      <c r="P4" s="51">
        <f>SQRT((M4*0.9/(O4+5))/0.9)</f>
        <v>0.480384461415261</v>
      </c>
      <c r="Q4" s="51">
        <f>SQRT((K4*0.9/(O4+5))/0.9)</f>
        <v>0.277350098112615</v>
      </c>
      <c r="R4" s="15">
        <v>1</v>
      </c>
      <c r="S4" s="15">
        <v>1</v>
      </c>
      <c r="T4" s="15">
        <f>IF(((M4*0.9/(O4+5)))/(R4*R4*1)&lt;1,1,((M4*0.9/(O4+5))/(R4*R4*1)))</f>
        <v>1</v>
      </c>
      <c r="U4" s="15">
        <f>IF(((K4*0.9/(O4+5)))/(S4*S4*1)&lt;1,1,((K4*0.9/(O4+5))/(S4*S4*1)))</f>
        <v>1</v>
      </c>
    </row>
    <row r="5" spans="1:8">
      <c r="A5" s="30"/>
      <c r="B5" s="30"/>
      <c r="C5" s="30"/>
      <c r="D5" s="30"/>
      <c r="E5" s="30"/>
      <c r="F5" s="30"/>
      <c r="G5" s="49"/>
      <c r="H5" s="30"/>
    </row>
    <row r="6" spans="1:8">
      <c r="A6" s="30"/>
      <c r="B6" s="30"/>
      <c r="C6" s="30"/>
      <c r="D6" s="30"/>
      <c r="E6" s="30"/>
      <c r="F6" s="30"/>
      <c r="G6" s="49"/>
      <c r="H6" s="30"/>
    </row>
    <row r="7" spans="1:8">
      <c r="A7" s="30"/>
      <c r="B7" s="30"/>
      <c r="C7" s="30"/>
      <c r="D7" s="30"/>
      <c r="E7" s="30"/>
      <c r="F7" s="30"/>
      <c r="G7" s="49"/>
      <c r="H7" s="30"/>
    </row>
    <row r="8" spans="1:8">
      <c r="A8" s="30"/>
      <c r="B8" s="30"/>
      <c r="C8" s="30"/>
      <c r="D8" s="30"/>
      <c r="E8" s="30"/>
      <c r="F8" s="30"/>
      <c r="G8" s="49"/>
      <c r="H8" s="30"/>
    </row>
    <row r="9" spans="1:8">
      <c r="A9" s="30"/>
      <c r="B9" s="30"/>
      <c r="C9" s="30"/>
      <c r="D9" s="30"/>
      <c r="E9" s="30"/>
      <c r="F9" s="30"/>
      <c r="G9" s="49"/>
      <c r="H9" s="30"/>
    </row>
    <row r="10" spans="1:8">
      <c r="A10" s="30"/>
      <c r="B10" s="30"/>
      <c r="C10" s="30"/>
      <c r="D10" s="30"/>
      <c r="E10" s="30"/>
      <c r="F10" s="30"/>
      <c r="G10" s="49"/>
      <c r="H10" s="30"/>
    </row>
    <row r="11" spans="1:8">
      <c r="A11" s="30"/>
      <c r="B11" s="30"/>
      <c r="C11" s="30"/>
      <c r="D11" s="30"/>
      <c r="E11" s="30"/>
      <c r="F11" s="30"/>
      <c r="G11" s="49"/>
      <c r="H11" s="30"/>
    </row>
    <row r="12" spans="1:8">
      <c r="A12" s="30"/>
      <c r="B12" s="30"/>
      <c r="C12" s="30"/>
      <c r="D12" s="30"/>
      <c r="E12" s="30"/>
      <c r="F12" s="30"/>
      <c r="G12" s="49"/>
      <c r="H12" s="30"/>
    </row>
    <row r="13" spans="1:8">
      <c r="A13" s="30"/>
      <c r="B13" s="30"/>
      <c r="C13" s="30"/>
      <c r="D13" s="30"/>
      <c r="E13" s="30"/>
      <c r="F13" s="30"/>
      <c r="G13" s="49"/>
      <c r="H13" s="30"/>
    </row>
    <row r="14" spans="1:8">
      <c r="A14" s="30"/>
      <c r="B14" s="30"/>
      <c r="C14" s="30"/>
      <c r="D14" s="30"/>
      <c r="E14" s="30"/>
      <c r="F14" s="30"/>
      <c r="G14" s="49"/>
      <c r="H14" s="30"/>
    </row>
    <row r="15" spans="1:8">
      <c r="A15" s="30"/>
      <c r="B15" s="30"/>
      <c r="C15" s="30"/>
      <c r="D15" s="30"/>
      <c r="E15" s="30"/>
      <c r="F15" s="30"/>
      <c r="G15" s="49"/>
      <c r="H15" s="30"/>
    </row>
    <row r="16" spans="1:8">
      <c r="A16" s="30"/>
      <c r="B16" s="30"/>
      <c r="C16" s="30"/>
      <c r="D16" s="30"/>
      <c r="E16" s="30"/>
      <c r="F16" s="30"/>
      <c r="G16" s="49"/>
      <c r="H16" s="30"/>
    </row>
    <row r="17" spans="1:8">
      <c r="A17" s="30"/>
      <c r="B17" s="30"/>
      <c r="C17" s="30"/>
      <c r="D17" s="30"/>
      <c r="E17" s="30"/>
      <c r="F17" s="30"/>
      <c r="G17" s="49"/>
      <c r="H17" s="30"/>
    </row>
    <row r="18" spans="1:8">
      <c r="A18" s="30"/>
      <c r="B18" s="30"/>
      <c r="C18" s="30"/>
      <c r="D18" s="30"/>
      <c r="E18" s="30"/>
      <c r="F18" s="30"/>
      <c r="G18" s="49"/>
      <c r="H18" s="30"/>
    </row>
    <row r="19" spans="1:8">
      <c r="A19" s="30"/>
      <c r="B19" s="30"/>
      <c r="C19" s="30"/>
      <c r="D19" s="30"/>
      <c r="E19" s="30"/>
      <c r="F19" s="30"/>
      <c r="G19" s="49"/>
      <c r="H19" s="30"/>
    </row>
    <row r="20" spans="1:8">
      <c r="A20" s="30"/>
      <c r="B20" s="30"/>
      <c r="C20" s="30"/>
      <c r="D20" s="30"/>
      <c r="E20" s="30"/>
      <c r="F20" s="30"/>
      <c r="G20" s="49"/>
      <c r="H20" s="30"/>
    </row>
    <row r="21" spans="1:8">
      <c r="A21" s="30"/>
      <c r="B21" s="30"/>
      <c r="C21" s="30"/>
      <c r="D21" s="30"/>
      <c r="E21" s="30"/>
      <c r="F21" s="30"/>
      <c r="G21" s="49"/>
      <c r="H21" s="30"/>
    </row>
    <row r="22" spans="1:8">
      <c r="A22" s="30"/>
      <c r="B22" s="30"/>
      <c r="C22" s="30"/>
      <c r="D22" s="30"/>
      <c r="E22" s="30"/>
      <c r="F22" s="30"/>
      <c r="G22" s="49"/>
      <c r="H22" s="30"/>
    </row>
    <row r="23" spans="1:8">
      <c r="A23" s="30"/>
      <c r="B23" s="30"/>
      <c r="C23" s="30"/>
      <c r="D23" s="30"/>
      <c r="E23" s="30"/>
      <c r="F23" s="30"/>
      <c r="G23" s="49"/>
      <c r="H23" s="30"/>
    </row>
    <row r="24" spans="1:8">
      <c r="A24" s="30"/>
      <c r="B24" s="30"/>
      <c r="C24" s="30"/>
      <c r="D24" s="30"/>
      <c r="E24" s="30"/>
      <c r="F24" s="30"/>
      <c r="G24" s="49"/>
      <c r="H24" s="30"/>
    </row>
    <row r="25" spans="1:8">
      <c r="A25" s="30"/>
      <c r="B25" s="30"/>
      <c r="C25" s="30"/>
      <c r="D25" s="30"/>
      <c r="E25" s="30"/>
      <c r="F25" s="30"/>
      <c r="G25" s="49"/>
      <c r="H25" s="30"/>
    </row>
    <row r="26" spans="1:8">
      <c r="A26" s="30"/>
      <c r="B26" s="30"/>
      <c r="C26" s="30"/>
      <c r="D26" s="30"/>
      <c r="E26" s="30"/>
      <c r="F26" s="30"/>
      <c r="G26" s="49"/>
      <c r="H26" s="30"/>
    </row>
    <row r="27" spans="1:8">
      <c r="A27" s="30"/>
      <c r="B27" s="30"/>
      <c r="C27" s="30"/>
      <c r="D27" s="30"/>
      <c r="E27" s="30"/>
      <c r="F27" s="30"/>
      <c r="G27" s="49"/>
      <c r="H27" s="30"/>
    </row>
    <row r="28" spans="1:8">
      <c r="A28" s="30"/>
      <c r="B28" s="30"/>
      <c r="C28" s="30"/>
      <c r="D28" s="30"/>
      <c r="E28" s="30"/>
      <c r="F28" s="30"/>
      <c r="G28" s="49"/>
      <c r="H28" s="30"/>
    </row>
    <row r="29" spans="1:8">
      <c r="A29" s="30"/>
      <c r="B29" s="30"/>
      <c r="C29" s="30"/>
      <c r="D29" s="30"/>
      <c r="E29" s="30"/>
      <c r="F29" s="30"/>
      <c r="G29" s="49"/>
      <c r="H29" s="30"/>
    </row>
    <row r="30" spans="1:8">
      <c r="A30" s="30"/>
      <c r="B30" s="30"/>
      <c r="C30" s="30"/>
      <c r="D30" s="30"/>
      <c r="E30" s="30"/>
      <c r="F30" s="30"/>
      <c r="G30" s="49"/>
      <c r="H30" s="30"/>
    </row>
    <row r="31" spans="1:8">
      <c r="A31" s="30"/>
      <c r="B31" s="30"/>
      <c r="C31" s="30"/>
      <c r="D31" s="30"/>
      <c r="E31" s="30"/>
      <c r="F31" s="30"/>
      <c r="G31" s="49"/>
      <c r="H31" s="30"/>
    </row>
    <row r="32" spans="1:8">
      <c r="A32" s="30"/>
      <c r="B32" s="30"/>
      <c r="C32" s="30"/>
      <c r="D32" s="30"/>
      <c r="E32" s="30"/>
      <c r="F32" s="30"/>
      <c r="G32" s="49"/>
      <c r="H32" s="30"/>
    </row>
    <row r="33" spans="1:8">
      <c r="A33" s="30"/>
      <c r="B33" s="30"/>
      <c r="C33" s="30"/>
      <c r="D33" s="30"/>
      <c r="E33" s="30"/>
      <c r="F33" s="30"/>
      <c r="G33" s="49"/>
      <c r="H33" s="3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X31"/>
  <sheetViews>
    <sheetView tabSelected="1" zoomScale="133" zoomScaleNormal="133" topLeftCell="H1" workbookViewId="0">
      <selection activeCell="J27" sqref="J27"/>
    </sheetView>
  </sheetViews>
  <sheetFormatPr defaultColWidth="9" defaultRowHeight="14.4"/>
  <cols>
    <col min="1" max="1" width="5.5625" style="15" customWidth="1"/>
    <col min="2" max="7" width="10.5625" style="15" customWidth="1"/>
    <col min="8" max="8" width="24.2265625" style="15" customWidth="1"/>
    <col min="9" max="9" width="15.5625" style="15" customWidth="1"/>
    <col min="10" max="10" width="30.5625" style="15" customWidth="1"/>
    <col min="11" max="11" width="9" style="15"/>
    <col min="12" max="12" width="15.5625" style="15" customWidth="1"/>
    <col min="13" max="16" width="10.5625" style="15" customWidth="1"/>
    <col min="17" max="17" width="9" style="15"/>
    <col min="18" max="18" width="20.5625" style="15" customWidth="1"/>
    <col min="19" max="20" width="10.5625" style="15" customWidth="1"/>
    <col min="21" max="23" width="9" style="15"/>
    <col min="24" max="24" width="11.0625" style="15"/>
    <col min="25" max="16384" width="9" style="15"/>
  </cols>
  <sheetData>
    <row r="2" ht="18" spans="1:24">
      <c r="A2" s="28" t="s">
        <v>0</v>
      </c>
      <c r="B2" s="29" t="s">
        <v>1</v>
      </c>
      <c r="C2" s="29" t="s">
        <v>2</v>
      </c>
      <c r="D2" s="29"/>
      <c r="E2" s="29" t="s">
        <v>19</v>
      </c>
      <c r="F2" s="29" t="s">
        <v>20</v>
      </c>
      <c r="G2" s="29" t="s">
        <v>21</v>
      </c>
      <c r="H2" s="29" t="s">
        <v>22</v>
      </c>
      <c r="I2" s="29" t="s">
        <v>5</v>
      </c>
      <c r="J2" s="28" t="s">
        <v>23</v>
      </c>
      <c r="L2" s="28" t="s">
        <v>8</v>
      </c>
      <c r="M2" s="28" t="s">
        <v>9</v>
      </c>
      <c r="N2" s="28" t="s">
        <v>10</v>
      </c>
      <c r="O2" s="28" t="s">
        <v>11</v>
      </c>
      <c r="P2" s="28" t="s">
        <v>12</v>
      </c>
      <c r="Q2" s="28" t="s">
        <v>13</v>
      </c>
      <c r="R2" s="28" t="s">
        <v>14</v>
      </c>
      <c r="S2" s="28" t="s">
        <v>15</v>
      </c>
      <c r="T2" s="28" t="s">
        <v>16</v>
      </c>
      <c r="X2" s="15" t="s">
        <v>24</v>
      </c>
    </row>
    <row r="3" spans="1:21">
      <c r="A3" s="30">
        <v>1</v>
      </c>
      <c r="B3" s="30">
        <v>72</v>
      </c>
      <c r="C3" s="30">
        <v>400000</v>
      </c>
      <c r="D3" s="30" t="s">
        <v>25</v>
      </c>
      <c r="E3" s="15">
        <v>25</v>
      </c>
      <c r="F3" s="15">
        <v>40</v>
      </c>
      <c r="G3" s="15">
        <v>15</v>
      </c>
      <c r="H3" s="15">
        <f>(F3-E3)*G3/2</f>
        <v>112.5</v>
      </c>
      <c r="I3" s="15">
        <v>1800</v>
      </c>
      <c r="J3" s="15">
        <f>(B3*0.5*POWER(10,10))/(2*C3*I3*H3)</f>
        <v>2.22222222222222</v>
      </c>
      <c r="L3" s="34">
        <f>B3/J3</f>
        <v>32.4</v>
      </c>
      <c r="M3" s="15">
        <v>216</v>
      </c>
      <c r="N3" s="37">
        <v>0.5</v>
      </c>
      <c r="O3" s="15">
        <f>M3*N3</f>
        <v>108</v>
      </c>
      <c r="P3" s="38">
        <f>O3/B3</f>
        <v>1.5</v>
      </c>
      <c r="Q3" s="43">
        <f>M3/L3</f>
        <v>6.66666666666667</v>
      </c>
      <c r="R3" s="38">
        <v>2.5</v>
      </c>
      <c r="S3" s="37">
        <f>SQRT((P3*0.9/(R3+5))/0.9)</f>
        <v>0.447213595499958</v>
      </c>
      <c r="T3" s="37">
        <f>SQRT((N3*0.9/(R3+5))/0.9)</f>
        <v>0.258198889747161</v>
      </c>
      <c r="U3" s="38">
        <f>SQRT((4*P3)/(3.14*R3))</f>
        <v>0.874260378943872</v>
      </c>
    </row>
    <row r="4" s="27" customFormat="1" spans="1:24">
      <c r="A4" s="31"/>
      <c r="B4" s="31">
        <v>72</v>
      </c>
      <c r="C4" s="31">
        <v>400000</v>
      </c>
      <c r="D4" s="31" t="s">
        <v>25</v>
      </c>
      <c r="E4" s="27">
        <v>23.3</v>
      </c>
      <c r="F4" s="27">
        <v>40.4</v>
      </c>
      <c r="G4" s="27">
        <v>15.1</v>
      </c>
      <c r="H4" s="27">
        <f t="shared" ref="H4:H13" si="0">(F4-E4)*G4/2</f>
        <v>129.105</v>
      </c>
      <c r="I4" s="27">
        <v>350</v>
      </c>
      <c r="J4" s="27">
        <f t="shared" ref="J4:J13" si="1">(B4*0.5*POWER(10,10))/(2*C4*I4*H4)</f>
        <v>9.95867151322014</v>
      </c>
      <c r="L4" s="35">
        <f t="shared" ref="L4:L13" si="2">B4/J4</f>
        <v>7.22988</v>
      </c>
      <c r="M4" s="27">
        <v>216</v>
      </c>
      <c r="N4" s="39">
        <v>0.5</v>
      </c>
      <c r="O4" s="27">
        <f t="shared" ref="O4:O11" si="3">M4*N4</f>
        <v>108</v>
      </c>
      <c r="P4" s="40">
        <f t="shared" ref="P4:P13" si="4">O4/B4</f>
        <v>1.5</v>
      </c>
      <c r="Q4" s="44">
        <f t="shared" ref="Q4:Q13" si="5">M4/L4</f>
        <v>29.8760145396604</v>
      </c>
      <c r="R4" s="40">
        <v>1.5</v>
      </c>
      <c r="S4" s="39">
        <f t="shared" ref="S4:S13" si="6">SQRT((P4*0.9/(R4+5))/0.9)</f>
        <v>0.480384461415261</v>
      </c>
      <c r="T4" s="39">
        <f t="shared" ref="T4:T13" si="7">SQRT((N4*0.9/(R4+5))/0.9)</f>
        <v>0.277350098112615</v>
      </c>
      <c r="U4" s="38">
        <f>SQRT((4*P4)/(3.14*R4))</f>
        <v>1.1286652959662</v>
      </c>
      <c r="V4" s="38">
        <f>SQRT((4*N4)/(3.14*R4))</f>
        <v>0.651635212451075</v>
      </c>
      <c r="X4" s="27">
        <f>M4/SQRT(2)</f>
        <v>152.735064736294</v>
      </c>
    </row>
    <row r="5" spans="2:20">
      <c r="B5" s="30">
        <v>72</v>
      </c>
      <c r="C5" s="30">
        <v>400000</v>
      </c>
      <c r="D5" s="30"/>
      <c r="E5" s="15">
        <v>23.13</v>
      </c>
      <c r="F5" s="15">
        <v>39.88</v>
      </c>
      <c r="G5" s="15">
        <v>14.48</v>
      </c>
      <c r="H5" s="15">
        <f t="shared" si="0"/>
        <v>121.27</v>
      </c>
      <c r="I5" s="15">
        <v>600</v>
      </c>
      <c r="J5" s="15">
        <f t="shared" si="1"/>
        <v>6.18454687886534</v>
      </c>
      <c r="L5" s="34">
        <f t="shared" si="2"/>
        <v>11.64192</v>
      </c>
      <c r="M5" s="15">
        <v>216</v>
      </c>
      <c r="N5" s="37">
        <v>0.5</v>
      </c>
      <c r="O5" s="15">
        <f t="shared" si="3"/>
        <v>108</v>
      </c>
      <c r="P5" s="38">
        <f t="shared" si="4"/>
        <v>1.5</v>
      </c>
      <c r="Q5" s="43">
        <f t="shared" si="5"/>
        <v>18.553640636596</v>
      </c>
      <c r="R5" s="38">
        <v>2.5</v>
      </c>
      <c r="S5" s="37">
        <f t="shared" si="6"/>
        <v>0.447213595499958</v>
      </c>
      <c r="T5" s="37">
        <f t="shared" si="7"/>
        <v>0.258198889747161</v>
      </c>
    </row>
    <row r="6" spans="2:20">
      <c r="B6" s="30">
        <v>72</v>
      </c>
      <c r="C6" s="30">
        <v>400000</v>
      </c>
      <c r="D6" s="30"/>
      <c r="E6" s="15">
        <v>23.13</v>
      </c>
      <c r="F6" s="15">
        <v>39.88</v>
      </c>
      <c r="G6" s="15">
        <v>14.48</v>
      </c>
      <c r="H6" s="15">
        <f t="shared" si="0"/>
        <v>121.27</v>
      </c>
      <c r="I6" s="15">
        <v>350</v>
      </c>
      <c r="J6" s="15">
        <f t="shared" si="1"/>
        <v>10.6020803637692</v>
      </c>
      <c r="L6" s="34">
        <f t="shared" si="2"/>
        <v>6.79112</v>
      </c>
      <c r="M6" s="15">
        <v>216</v>
      </c>
      <c r="N6" s="37">
        <v>0.5</v>
      </c>
      <c r="O6" s="15">
        <f t="shared" si="3"/>
        <v>108</v>
      </c>
      <c r="P6" s="38">
        <f t="shared" si="4"/>
        <v>1.5</v>
      </c>
      <c r="Q6" s="43">
        <f t="shared" si="5"/>
        <v>31.8062410913075</v>
      </c>
      <c r="R6" s="38">
        <v>2.5</v>
      </c>
      <c r="S6" s="37">
        <f t="shared" si="6"/>
        <v>0.447213595499958</v>
      </c>
      <c r="T6" s="37">
        <f t="shared" si="7"/>
        <v>0.258198889747161</v>
      </c>
    </row>
    <row r="7" spans="2:20">
      <c r="B7" s="30">
        <v>72</v>
      </c>
      <c r="C7" s="30">
        <v>400000</v>
      </c>
      <c r="D7" s="15" t="s">
        <v>26</v>
      </c>
      <c r="E7" s="15">
        <v>23.3</v>
      </c>
      <c r="F7" s="15">
        <v>40.4</v>
      </c>
      <c r="G7" s="15">
        <v>15.1</v>
      </c>
      <c r="H7" s="15">
        <f t="shared" si="0"/>
        <v>129.105</v>
      </c>
      <c r="I7" s="15">
        <v>350</v>
      </c>
      <c r="J7" s="15">
        <f t="shared" si="1"/>
        <v>9.95867151322014</v>
      </c>
      <c r="L7" s="34">
        <f t="shared" si="2"/>
        <v>7.22988</v>
      </c>
      <c r="M7" s="15">
        <v>216</v>
      </c>
      <c r="N7" s="37">
        <v>0.5</v>
      </c>
      <c r="O7" s="15">
        <f t="shared" si="3"/>
        <v>108</v>
      </c>
      <c r="P7" s="38">
        <f t="shared" si="4"/>
        <v>1.5</v>
      </c>
      <c r="Q7" s="43">
        <f t="shared" si="5"/>
        <v>29.8760145396604</v>
      </c>
      <c r="R7" s="38">
        <v>2.5</v>
      </c>
      <c r="S7" s="37">
        <f t="shared" si="6"/>
        <v>0.447213595499958</v>
      </c>
      <c r="T7" s="37">
        <f t="shared" si="7"/>
        <v>0.258198889747161</v>
      </c>
    </row>
    <row r="8" spans="2:20">
      <c r="B8" s="30">
        <v>72</v>
      </c>
      <c r="C8" s="30">
        <v>400000</v>
      </c>
      <c r="D8" s="15" t="s">
        <v>27</v>
      </c>
      <c r="E8" s="15">
        <v>13.5</v>
      </c>
      <c r="F8" s="15">
        <v>23.3</v>
      </c>
      <c r="G8" s="15">
        <v>8</v>
      </c>
      <c r="H8" s="15">
        <f t="shared" si="0"/>
        <v>39.2</v>
      </c>
      <c r="I8" s="15">
        <v>350</v>
      </c>
      <c r="J8" s="15">
        <f t="shared" si="1"/>
        <v>32.798833819242</v>
      </c>
      <c r="L8" s="34">
        <f t="shared" si="2"/>
        <v>2.1952</v>
      </c>
      <c r="M8" s="15">
        <v>216</v>
      </c>
      <c r="N8" s="37">
        <v>0.5</v>
      </c>
      <c r="O8" s="15">
        <f t="shared" si="3"/>
        <v>108</v>
      </c>
      <c r="P8" s="38">
        <f t="shared" si="4"/>
        <v>1.5</v>
      </c>
      <c r="Q8" s="43">
        <f t="shared" si="5"/>
        <v>98.396501457726</v>
      </c>
      <c r="R8" s="38">
        <v>2.5</v>
      </c>
      <c r="S8" s="37">
        <f t="shared" si="6"/>
        <v>0.447213595499958</v>
      </c>
      <c r="T8" s="37">
        <f t="shared" si="7"/>
        <v>0.258198889747161</v>
      </c>
    </row>
    <row r="9" spans="2:20">
      <c r="B9" s="30">
        <v>72</v>
      </c>
      <c r="C9" s="30">
        <v>400000</v>
      </c>
      <c r="E9" s="15">
        <v>23.3</v>
      </c>
      <c r="F9" s="15">
        <v>40.6</v>
      </c>
      <c r="G9" s="15">
        <v>14.9</v>
      </c>
      <c r="H9" s="15">
        <f t="shared" si="0"/>
        <v>128.885</v>
      </c>
      <c r="I9" s="15">
        <v>350</v>
      </c>
      <c r="J9" s="15">
        <f t="shared" si="1"/>
        <v>9.9756704481847</v>
      </c>
      <c r="L9" s="34">
        <f t="shared" si="2"/>
        <v>7.21756</v>
      </c>
      <c r="M9" s="15">
        <v>216</v>
      </c>
      <c r="N9" s="37">
        <v>0.5</v>
      </c>
      <c r="O9" s="15">
        <f t="shared" si="3"/>
        <v>108</v>
      </c>
      <c r="P9" s="38">
        <f t="shared" si="4"/>
        <v>1.5</v>
      </c>
      <c r="Q9" s="43">
        <f t="shared" si="5"/>
        <v>29.9270113445541</v>
      </c>
      <c r="R9" s="38">
        <v>2.5</v>
      </c>
      <c r="S9" s="37">
        <f t="shared" si="6"/>
        <v>0.447213595499958</v>
      </c>
      <c r="T9" s="37">
        <f t="shared" si="7"/>
        <v>0.258198889747161</v>
      </c>
    </row>
    <row r="10" spans="2:20">
      <c r="B10" s="30">
        <v>72</v>
      </c>
      <c r="C10" s="30">
        <v>400000</v>
      </c>
      <c r="D10" s="30" t="s">
        <v>25</v>
      </c>
      <c r="E10" s="15">
        <v>23</v>
      </c>
      <c r="F10" s="15">
        <v>40</v>
      </c>
      <c r="G10" s="15">
        <v>15</v>
      </c>
      <c r="H10" s="15">
        <f t="shared" si="0"/>
        <v>127.5</v>
      </c>
      <c r="I10" s="15">
        <v>350</v>
      </c>
      <c r="J10" s="15">
        <f t="shared" si="1"/>
        <v>10.0840336134454</v>
      </c>
      <c r="L10" s="34">
        <f t="shared" si="2"/>
        <v>7.14</v>
      </c>
      <c r="M10" s="15">
        <f>72*7</f>
        <v>504</v>
      </c>
      <c r="N10" s="37">
        <v>0.5</v>
      </c>
      <c r="O10" s="15">
        <f t="shared" si="3"/>
        <v>252</v>
      </c>
      <c r="P10" s="38">
        <f t="shared" si="4"/>
        <v>3.5</v>
      </c>
      <c r="Q10" s="43">
        <f t="shared" si="5"/>
        <v>70.5882352941176</v>
      </c>
      <c r="R10" s="38">
        <v>2.5</v>
      </c>
      <c r="S10" s="37">
        <f t="shared" si="6"/>
        <v>0.683130051063973</v>
      </c>
      <c r="T10" s="37">
        <f t="shared" si="7"/>
        <v>0.258198889747161</v>
      </c>
    </row>
    <row r="11" s="27" customFormat="1" spans="2:22">
      <c r="B11" s="31">
        <v>72</v>
      </c>
      <c r="C11" s="31">
        <v>100000</v>
      </c>
      <c r="D11" s="31" t="s">
        <v>25</v>
      </c>
      <c r="E11" s="27">
        <v>23.3</v>
      </c>
      <c r="F11" s="27">
        <v>40.4</v>
      </c>
      <c r="G11" s="27">
        <v>15.1</v>
      </c>
      <c r="H11" s="27">
        <f t="shared" si="0"/>
        <v>129.105</v>
      </c>
      <c r="I11" s="27">
        <v>350</v>
      </c>
      <c r="J11" s="27">
        <f t="shared" si="1"/>
        <v>39.8346860528805</v>
      </c>
      <c r="L11" s="35">
        <f t="shared" si="2"/>
        <v>1.80747</v>
      </c>
      <c r="M11" s="27">
        <v>504</v>
      </c>
      <c r="N11" s="39">
        <v>0.2</v>
      </c>
      <c r="O11" s="39">
        <f t="shared" si="3"/>
        <v>100.8</v>
      </c>
      <c r="P11" s="40">
        <f t="shared" si="4"/>
        <v>1.4</v>
      </c>
      <c r="Q11" s="44">
        <f t="shared" si="5"/>
        <v>278.842802370164</v>
      </c>
      <c r="R11" s="40">
        <v>1.5</v>
      </c>
      <c r="S11" s="39">
        <f t="shared" si="6"/>
        <v>0.464095480892257</v>
      </c>
      <c r="T11" s="39">
        <f t="shared" si="7"/>
        <v>0.175411603861406</v>
      </c>
      <c r="U11" s="38">
        <f>SQRT((4*P11)/(3.14*R11))</f>
        <v>1.09039426827971</v>
      </c>
      <c r="V11" s="38">
        <f>SQRT((4*N11)/(3.14*R11))</f>
        <v>0.412130294982622</v>
      </c>
    </row>
    <row r="12" s="27" customFormat="1" spans="2:22">
      <c r="B12" s="31"/>
      <c r="C12" s="31"/>
      <c r="D12" s="31"/>
      <c r="L12" s="35"/>
      <c r="N12" s="39"/>
      <c r="O12" s="39"/>
      <c r="P12" s="40"/>
      <c r="Q12" s="44"/>
      <c r="R12" s="40"/>
      <c r="S12" s="39"/>
      <c r="T12" s="39"/>
      <c r="U12" s="38"/>
      <c r="V12" s="38"/>
    </row>
    <row r="13" spans="2:22">
      <c r="B13" s="32">
        <v>48</v>
      </c>
      <c r="C13" s="32">
        <v>400000</v>
      </c>
      <c r="D13" s="32" t="s">
        <v>25</v>
      </c>
      <c r="E13" s="33">
        <v>23.3</v>
      </c>
      <c r="F13" s="33">
        <v>40.4</v>
      </c>
      <c r="G13" s="33">
        <v>15.1</v>
      </c>
      <c r="H13" s="33">
        <f>(F13-E13)*G13/2</f>
        <v>129.105</v>
      </c>
      <c r="I13" s="33">
        <v>350</v>
      </c>
      <c r="J13" s="33">
        <v>7</v>
      </c>
      <c r="K13" s="33"/>
      <c r="L13" s="36">
        <f>B13/J13</f>
        <v>6.85714285714286</v>
      </c>
      <c r="M13" s="33">
        <v>200</v>
      </c>
      <c r="N13" s="41">
        <v>0.5</v>
      </c>
      <c r="O13" s="33">
        <f>M13*N13</f>
        <v>100</v>
      </c>
      <c r="P13" s="42">
        <f>O13/B13</f>
        <v>2.08333333333333</v>
      </c>
      <c r="Q13" s="45">
        <f>M13/L13</f>
        <v>29.1666666666667</v>
      </c>
      <c r="R13" s="42">
        <v>1.5</v>
      </c>
      <c r="S13" s="41">
        <f>SQRT((P13*0.9/(R13+5))/0.9)</f>
        <v>0.566138517072298</v>
      </c>
      <c r="T13" s="41">
        <f>SQRT((N13*0.9/(R13+5))/0.9)</f>
        <v>0.277350098112615</v>
      </c>
      <c r="U13" s="42">
        <f>SQRT((4*P13)/(3.14*R13))</f>
        <v>1.33014480744604</v>
      </c>
      <c r="V13" s="42">
        <f>SQRT((4*N13)/(3.14*R13))</f>
        <v>0.651635212451075</v>
      </c>
    </row>
    <row r="14" spans="2:22">
      <c r="B14" s="32">
        <v>48</v>
      </c>
      <c r="C14" s="32">
        <v>100000</v>
      </c>
      <c r="D14" s="32" t="s">
        <v>25</v>
      </c>
      <c r="E14" s="33">
        <v>23.3</v>
      </c>
      <c r="F14" s="33">
        <v>40.4</v>
      </c>
      <c r="G14" s="33">
        <v>15.1</v>
      </c>
      <c r="H14" s="33">
        <f>(F14-E14)*G14/2</f>
        <v>129.105</v>
      </c>
      <c r="I14" s="33">
        <v>350</v>
      </c>
      <c r="J14" s="33">
        <v>27</v>
      </c>
      <c r="K14" s="33"/>
      <c r="L14" s="36">
        <f>B14/J14</f>
        <v>1.77777777777778</v>
      </c>
      <c r="M14" s="33">
        <v>500</v>
      </c>
      <c r="N14" s="41">
        <v>0.2</v>
      </c>
      <c r="O14" s="41">
        <f>M14*N14</f>
        <v>100</v>
      </c>
      <c r="P14" s="42">
        <f>O14/B14</f>
        <v>2.08333333333333</v>
      </c>
      <c r="Q14" s="45">
        <f>M14/L14</f>
        <v>281.25</v>
      </c>
      <c r="R14" s="42">
        <v>1.5</v>
      </c>
      <c r="S14" s="41">
        <f>SQRT((P14*0.9/(R14+5))/0.9)</f>
        <v>0.566138517072298</v>
      </c>
      <c r="T14" s="41">
        <f>SQRT((N14*0.9/(R14+5))/0.9)</f>
        <v>0.175411603861406</v>
      </c>
      <c r="U14" s="42">
        <f>SQRT((4*P14)/(3.14*R14))</f>
        <v>1.33014480744604</v>
      </c>
      <c r="V14" s="42">
        <f>SQRT((4*N14)/(3.14*R14))</f>
        <v>0.412130294982622</v>
      </c>
    </row>
    <row r="15" spans="3:3">
      <c r="C15" s="30"/>
    </row>
    <row r="16" spans="3:3">
      <c r="C16" s="30"/>
    </row>
    <row r="17" spans="2:20">
      <c r="B17" s="15">
        <v>3.7</v>
      </c>
      <c r="C17" s="30">
        <v>87148</v>
      </c>
      <c r="D17" s="15" t="s">
        <v>27</v>
      </c>
      <c r="E17" s="15">
        <v>13.5</v>
      </c>
      <c r="F17" s="15">
        <v>23.3</v>
      </c>
      <c r="G17" s="15">
        <v>8</v>
      </c>
      <c r="H17" s="15">
        <f>(F17-E17)*G17/2</f>
        <v>39.2</v>
      </c>
      <c r="I17" s="15">
        <v>350</v>
      </c>
      <c r="J17" s="15">
        <f>(B17*0.5*POWER(10,10))/(2*C17*I17*H17)</f>
        <v>7.73624467261283</v>
      </c>
      <c r="L17" s="34">
        <f>B17/J17</f>
        <v>0.478268224</v>
      </c>
      <c r="M17" s="15">
        <v>1.2</v>
      </c>
      <c r="N17" s="37">
        <v>0.1</v>
      </c>
      <c r="O17" s="15">
        <f>M17*N17</f>
        <v>0.12</v>
      </c>
      <c r="P17" s="38">
        <f>O17/B17</f>
        <v>0.0324324324324324</v>
      </c>
      <c r="Q17" s="43">
        <f>M17/L17</f>
        <v>2.50905232625281</v>
      </c>
      <c r="R17" s="38">
        <v>1</v>
      </c>
      <c r="S17" s="37">
        <f>SQRT((P17*0.9/(R17+5))/0.9)</f>
        <v>0.0735214622093808</v>
      </c>
      <c r="T17" s="37">
        <f>SQRT((N17*0.9/(R17+5))/0.9)</f>
        <v>0.129099444873581</v>
      </c>
    </row>
    <row r="18" spans="2:20">
      <c r="B18" s="15">
        <v>10</v>
      </c>
      <c r="C18" s="30">
        <v>87148</v>
      </c>
      <c r="D18" s="15" t="s">
        <v>27</v>
      </c>
      <c r="E18" s="15">
        <v>13.5</v>
      </c>
      <c r="F18" s="15">
        <v>23.3</v>
      </c>
      <c r="G18" s="15">
        <v>8</v>
      </c>
      <c r="H18" s="15">
        <f>(F18-E18)*G18/2</f>
        <v>39.2</v>
      </c>
      <c r="I18" s="15">
        <v>350</v>
      </c>
      <c r="J18" s="15">
        <f>(B18*0.5*POWER(10,10))/(2*C18*I18*H18)</f>
        <v>20.9087693854401</v>
      </c>
      <c r="L18" s="34">
        <f>B18/J18</f>
        <v>0.478268224</v>
      </c>
      <c r="M18" s="15">
        <v>1.2</v>
      </c>
      <c r="N18" s="37">
        <v>0.1</v>
      </c>
      <c r="O18" s="15">
        <f>M18*N18</f>
        <v>0.12</v>
      </c>
      <c r="P18" s="38">
        <f>O18/B18</f>
        <v>0.012</v>
      </c>
      <c r="Q18" s="43">
        <f>M18/L18</f>
        <v>2.50905232625281</v>
      </c>
      <c r="R18" s="38">
        <v>1</v>
      </c>
      <c r="S18" s="37">
        <f>SQRT((P18*0.9/(R18+5))/0.9)</f>
        <v>0.0447213595499958</v>
      </c>
      <c r="T18" s="37">
        <f>SQRT((N18*0.9/(R18+5))/0.9)</f>
        <v>0.129099444873581</v>
      </c>
    </row>
    <row r="19" spans="2:20">
      <c r="B19" s="15">
        <v>5</v>
      </c>
      <c r="C19" s="30">
        <v>80000</v>
      </c>
      <c r="D19" s="15"/>
      <c r="E19" s="15">
        <v>7.5</v>
      </c>
      <c r="F19" s="15">
        <v>14</v>
      </c>
      <c r="G19" s="15">
        <v>5</v>
      </c>
      <c r="H19" s="15">
        <f t="shared" ref="H19:H25" si="8">(F19-E19)*G19/2</f>
        <v>16.25</v>
      </c>
      <c r="I19" s="15">
        <v>350</v>
      </c>
      <c r="J19" s="15">
        <f t="shared" ref="J19:J25" si="9">(B19*0.5*POWER(10,10))/(2*C19*I19*H19)</f>
        <v>27.4725274725275</v>
      </c>
      <c r="L19" s="34">
        <f t="shared" ref="L19:L25" si="10">B19/J19</f>
        <v>0.182</v>
      </c>
      <c r="M19" s="15">
        <v>1.2</v>
      </c>
      <c r="N19" s="37">
        <v>0.1</v>
      </c>
      <c r="O19" s="15">
        <f t="shared" ref="O19:O25" si="11">M19*N19</f>
        <v>0.12</v>
      </c>
      <c r="P19" s="38">
        <f t="shared" ref="P19:P25" si="12">O19/B19</f>
        <v>0.024</v>
      </c>
      <c r="Q19" s="43">
        <f t="shared" ref="Q19:Q25" si="13">M19/L19</f>
        <v>6.59340659340659</v>
      </c>
      <c r="R19" s="38">
        <v>1</v>
      </c>
      <c r="S19" s="37">
        <f t="shared" ref="S19:S25" si="14">SQRT((P19*0.9/(R19+5))/0.9)</f>
        <v>0.0632455532033676</v>
      </c>
      <c r="T19" s="37">
        <f t="shared" ref="T19:T25" si="15">SQRT((N19*0.9/(R19+5))/0.9)</f>
        <v>0.129099444873581</v>
      </c>
    </row>
    <row r="20" spans="3:20">
      <c r="C20" s="30"/>
      <c r="L20" s="34"/>
      <c r="N20" s="37"/>
      <c r="P20" s="38"/>
      <c r="Q20" s="43"/>
      <c r="R20" s="38"/>
      <c r="S20" s="37"/>
      <c r="T20" s="37"/>
    </row>
    <row r="21" spans="2:20">
      <c r="B21" s="15">
        <v>5</v>
      </c>
      <c r="C21" s="30">
        <v>80000</v>
      </c>
      <c r="D21" s="15" t="s">
        <v>27</v>
      </c>
      <c r="E21" s="15">
        <v>13.5</v>
      </c>
      <c r="F21" s="15">
        <v>23.3</v>
      </c>
      <c r="G21" s="15">
        <v>8</v>
      </c>
      <c r="H21" s="15">
        <f t="shared" si="8"/>
        <v>39.2</v>
      </c>
      <c r="I21" s="15">
        <v>120</v>
      </c>
      <c r="J21" s="15">
        <f t="shared" si="9"/>
        <v>33.2164115646259</v>
      </c>
      <c r="L21" s="34">
        <f t="shared" si="10"/>
        <v>0.150528</v>
      </c>
      <c r="M21" s="15">
        <v>1.2</v>
      </c>
      <c r="N21" s="37">
        <v>0.1</v>
      </c>
      <c r="O21" s="15">
        <f t="shared" si="11"/>
        <v>0.12</v>
      </c>
      <c r="P21" s="38">
        <f t="shared" si="12"/>
        <v>0.024</v>
      </c>
      <c r="Q21" s="43">
        <f t="shared" si="13"/>
        <v>7.9719387755102</v>
      </c>
      <c r="R21" s="38">
        <v>1</v>
      </c>
      <c r="S21" s="37">
        <f t="shared" si="14"/>
        <v>0.0632455532033676</v>
      </c>
      <c r="T21" s="37">
        <f t="shared" si="15"/>
        <v>0.129099444873581</v>
      </c>
    </row>
    <row r="22" spans="2:20">
      <c r="B22" s="15">
        <v>5</v>
      </c>
      <c r="C22" s="30">
        <v>20000</v>
      </c>
      <c r="D22" s="15" t="s">
        <v>27</v>
      </c>
      <c r="E22" s="15">
        <v>13.5</v>
      </c>
      <c r="F22" s="15">
        <v>23.3</v>
      </c>
      <c r="G22" s="15">
        <v>8</v>
      </c>
      <c r="H22" s="15">
        <f t="shared" si="8"/>
        <v>39.2</v>
      </c>
      <c r="I22" s="15">
        <v>120</v>
      </c>
      <c r="J22" s="15">
        <f t="shared" si="9"/>
        <v>132.865646258503</v>
      </c>
      <c r="L22" s="34">
        <f t="shared" si="10"/>
        <v>0.037632</v>
      </c>
      <c r="M22" s="15">
        <v>1.2</v>
      </c>
      <c r="N22" s="37">
        <v>0.1</v>
      </c>
      <c r="O22" s="15">
        <f t="shared" si="11"/>
        <v>0.12</v>
      </c>
      <c r="P22" s="38">
        <f t="shared" si="12"/>
        <v>0.024</v>
      </c>
      <c r="Q22" s="43">
        <f t="shared" si="13"/>
        <v>31.8877551020408</v>
      </c>
      <c r="R22" s="38">
        <v>1</v>
      </c>
      <c r="S22" s="37">
        <f t="shared" si="14"/>
        <v>0.0632455532033676</v>
      </c>
      <c r="T22" s="37">
        <f t="shared" si="15"/>
        <v>0.129099444873581</v>
      </c>
    </row>
    <row r="23" spans="3:3">
      <c r="C23" s="30"/>
    </row>
    <row r="24" spans="2:20">
      <c r="B24" s="15">
        <v>5</v>
      </c>
      <c r="C24" s="30">
        <v>200000</v>
      </c>
      <c r="D24" s="15" t="s">
        <v>27</v>
      </c>
      <c r="E24" s="15">
        <v>7.5</v>
      </c>
      <c r="F24" s="15">
        <v>14</v>
      </c>
      <c r="G24" s="15">
        <v>5</v>
      </c>
      <c r="H24" s="15">
        <f t="shared" si="8"/>
        <v>16.25</v>
      </c>
      <c r="I24" s="15">
        <v>150</v>
      </c>
      <c r="J24" s="15">
        <f t="shared" si="9"/>
        <v>25.6410256410256</v>
      </c>
      <c r="L24" s="34">
        <f t="shared" si="10"/>
        <v>0.195</v>
      </c>
      <c r="M24" s="15">
        <v>1.2</v>
      </c>
      <c r="N24" s="37">
        <v>0.1</v>
      </c>
      <c r="O24" s="15">
        <f t="shared" si="11"/>
        <v>0.12</v>
      </c>
      <c r="P24" s="38">
        <f t="shared" si="12"/>
        <v>0.024</v>
      </c>
      <c r="Q24" s="43">
        <f t="shared" si="13"/>
        <v>6.15384615384615</v>
      </c>
      <c r="R24" s="38">
        <v>1</v>
      </c>
      <c r="S24" s="37">
        <f t="shared" si="14"/>
        <v>0.0632455532033676</v>
      </c>
      <c r="T24" s="37">
        <f t="shared" si="15"/>
        <v>0.129099444873581</v>
      </c>
    </row>
    <row r="25" spans="2:20">
      <c r="B25" s="15">
        <v>5</v>
      </c>
      <c r="C25" s="30">
        <v>200000</v>
      </c>
      <c r="D25" s="15" t="s">
        <v>27</v>
      </c>
      <c r="E25" s="15">
        <v>13.5</v>
      </c>
      <c r="F25" s="15">
        <v>23.3</v>
      </c>
      <c r="G25" s="15">
        <v>8</v>
      </c>
      <c r="H25" s="15">
        <f t="shared" si="8"/>
        <v>39.2</v>
      </c>
      <c r="I25" s="15">
        <v>150</v>
      </c>
      <c r="J25" s="15">
        <f t="shared" si="9"/>
        <v>10.6292517006803</v>
      </c>
      <c r="L25" s="34">
        <f t="shared" si="10"/>
        <v>0.4704</v>
      </c>
      <c r="M25" s="15">
        <v>1.2</v>
      </c>
      <c r="N25" s="37">
        <v>0.1</v>
      </c>
      <c r="O25" s="15">
        <f t="shared" si="11"/>
        <v>0.12</v>
      </c>
      <c r="P25" s="38">
        <f t="shared" si="12"/>
        <v>0.024</v>
      </c>
      <c r="Q25" s="43">
        <f t="shared" si="13"/>
        <v>2.55102040816327</v>
      </c>
      <c r="R25" s="38">
        <v>1</v>
      </c>
      <c r="S25" s="37">
        <f t="shared" si="14"/>
        <v>0.0632455532033676</v>
      </c>
      <c r="T25" s="37">
        <f t="shared" si="15"/>
        <v>0.129099444873581</v>
      </c>
    </row>
    <row r="27" spans="1:24">
      <c r="A27" s="31"/>
      <c r="B27" s="31">
        <v>72</v>
      </c>
      <c r="C27" s="31">
        <v>400000</v>
      </c>
      <c r="D27" s="31" t="s">
        <v>25</v>
      </c>
      <c r="E27" s="27">
        <v>23.3</v>
      </c>
      <c r="F27" s="27">
        <v>40.4</v>
      </c>
      <c r="G27" s="27">
        <v>15.1</v>
      </c>
      <c r="H27" s="27">
        <f>(F27-E27)*G27/2</f>
        <v>129.105</v>
      </c>
      <c r="I27" s="27">
        <v>350</v>
      </c>
      <c r="J27" s="27">
        <f>(B27*0.5*POWER(10,10))/(2*C27*I27*H27)</f>
        <v>9.95867151322014</v>
      </c>
      <c r="K27" s="27"/>
      <c r="L27" s="35">
        <f>B27/J27</f>
        <v>7.22988</v>
      </c>
      <c r="M27" s="27">
        <v>228</v>
      </c>
      <c r="N27" s="39">
        <v>0.5</v>
      </c>
      <c r="O27" s="27">
        <f>M27*N27</f>
        <v>114</v>
      </c>
      <c r="P27" s="40">
        <f>O27/B27</f>
        <v>1.58333333333333</v>
      </c>
      <c r="Q27" s="44">
        <f>M27/L27</f>
        <v>31.5357931251971</v>
      </c>
      <c r="R27" s="40">
        <v>1.5</v>
      </c>
      <c r="S27" s="39">
        <f>SQRT((P27*0.9/(R27+5))/0.9)</f>
        <v>0.493548116792825</v>
      </c>
      <c r="T27" s="39">
        <f>SQRT((N27*0.9/(R27+5))/0.9)</f>
        <v>0.277350098112615</v>
      </c>
      <c r="U27" s="38">
        <f>SQRT((4*P27)/(3.14*R27))</f>
        <v>1.15959335918653</v>
      </c>
      <c r="V27" s="38">
        <f>SQRT((4*N27)/(3.14*R27))</f>
        <v>0.651635212451075</v>
      </c>
      <c r="W27" s="27"/>
      <c r="X27" s="27">
        <f>M27/SQRT(2)</f>
        <v>161.220346110533</v>
      </c>
    </row>
    <row r="31" spans="17:17">
      <c r="Q31" s="15">
        <f>17+15+13</f>
        <v>45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Y34"/>
  <sheetViews>
    <sheetView zoomScale="96" zoomScaleNormal="96" workbookViewId="0">
      <selection activeCell="J12" sqref="J12"/>
    </sheetView>
  </sheetViews>
  <sheetFormatPr defaultColWidth="9" defaultRowHeight="14.4"/>
  <cols>
    <col min="1" max="1" width="5.5625" style="15" customWidth="1"/>
    <col min="2" max="2" width="15.5625" style="16" customWidth="1"/>
    <col min="3" max="3" width="15.5625" style="15" customWidth="1"/>
    <col min="4" max="4" width="5.5625" style="15" customWidth="1"/>
    <col min="5" max="5" width="15.5625" style="15" customWidth="1"/>
    <col min="6" max="6" width="5.5625" style="15" customWidth="1"/>
    <col min="7" max="7" width="15.5625" style="15" customWidth="1"/>
    <col min="8" max="8" width="5.5625" style="15" customWidth="1"/>
    <col min="9" max="9" width="15.5625" style="15" customWidth="1"/>
    <col min="10" max="10" width="14.359375" style="15" customWidth="1"/>
    <col min="11" max="12" width="18.5625" style="15" customWidth="1"/>
    <col min="13" max="13" width="5.2265625" style="15" customWidth="1"/>
    <col min="14" max="14" width="25.4375" style="15" customWidth="1"/>
    <col min="15" max="17" width="5.5625" style="15" customWidth="1"/>
    <col min="18" max="18" width="15.5625" style="15" customWidth="1"/>
    <col min="19" max="20" width="9" style="15"/>
    <col min="21" max="22" width="20.5625" style="15" customWidth="1"/>
    <col min="23" max="23" width="9" style="15"/>
    <col min="24" max="24" width="11.125" style="15"/>
    <col min="25" max="16384" width="9" style="15"/>
  </cols>
  <sheetData>
    <row r="3" spans="2:10">
      <c r="B3" s="5" t="s">
        <v>28</v>
      </c>
      <c r="C3" s="7">
        <v>400000</v>
      </c>
      <c r="D3" s="7" t="s">
        <v>29</v>
      </c>
      <c r="E3" s="7">
        <v>400000</v>
      </c>
      <c r="F3" s="7" t="s">
        <v>29</v>
      </c>
      <c r="I3" s="7"/>
      <c r="J3" s="22"/>
    </row>
    <row r="4" customHeight="1" spans="2:9">
      <c r="B4" s="5" t="s">
        <v>30</v>
      </c>
      <c r="C4" s="7">
        <v>100</v>
      </c>
      <c r="D4" s="7" t="s">
        <v>31</v>
      </c>
      <c r="E4" s="7">
        <v>500</v>
      </c>
      <c r="F4" s="7" t="s">
        <v>31</v>
      </c>
      <c r="I4" s="7"/>
    </row>
    <row r="5" customHeight="1" spans="2:9">
      <c r="B5" s="5" t="s">
        <v>32</v>
      </c>
      <c r="C5" s="7">
        <f>C4/2</f>
        <v>50</v>
      </c>
      <c r="D5" s="7" t="s">
        <v>31</v>
      </c>
      <c r="E5" s="7">
        <f>E4/2</f>
        <v>250</v>
      </c>
      <c r="F5" s="7" t="s">
        <v>31</v>
      </c>
      <c r="I5" s="7"/>
    </row>
    <row r="6" ht="18" spans="2:24">
      <c r="B6" s="5" t="s">
        <v>33</v>
      </c>
      <c r="C6" s="11">
        <f>((C5*SQRT(2))/(2*3.14*C3))*1000000</f>
        <v>28.1491553020122</v>
      </c>
      <c r="D6" s="7" t="s">
        <v>34</v>
      </c>
      <c r="E6" s="11">
        <f>((E5*SQRT(2))/(2*3.14*E3))*1000000</f>
        <v>140.745776510061</v>
      </c>
      <c r="F6" s="7" t="s">
        <v>34</v>
      </c>
      <c r="M6" s="23"/>
      <c r="N6" s="7" t="s">
        <v>35</v>
      </c>
      <c r="O6" s="24">
        <v>1.4</v>
      </c>
      <c r="P6" s="7"/>
      <c r="S6" s="7"/>
      <c r="T6" s="23"/>
      <c r="U6" s="23"/>
      <c r="V6" s="7"/>
      <c r="W6" s="7"/>
      <c r="X6" s="7"/>
    </row>
    <row r="7" ht="18" spans="2:24">
      <c r="B7" s="5" t="s">
        <v>36</v>
      </c>
      <c r="C7" s="12">
        <f>(1/(2*3.14*C3*C5*SQRT(2)))*1000000000</f>
        <v>5.62983106040245</v>
      </c>
      <c r="D7" s="7" t="s">
        <v>37</v>
      </c>
      <c r="E7" s="12">
        <f>(1/(2*3.14*E3*E5*SQRT(2)))*1000000000</f>
        <v>1.12596621208049</v>
      </c>
      <c r="F7" s="7" t="s">
        <v>37</v>
      </c>
      <c r="M7" s="21"/>
      <c r="N7" s="7" t="s">
        <v>38</v>
      </c>
      <c r="O7" s="24">
        <v>0.707</v>
      </c>
      <c r="P7" s="25"/>
      <c r="S7" s="7"/>
      <c r="T7" s="11"/>
      <c r="U7" s="11"/>
      <c r="V7" s="26"/>
      <c r="W7" s="26"/>
      <c r="X7" s="7"/>
    </row>
    <row r="8" ht="18" spans="2:24">
      <c r="B8" s="5" t="s">
        <v>39</v>
      </c>
      <c r="C8" s="17">
        <f>C7/2</f>
        <v>2.81491553020122</v>
      </c>
      <c r="D8" s="7" t="s">
        <v>37</v>
      </c>
      <c r="E8" s="17">
        <f>E7/2</f>
        <v>0.562983106040245</v>
      </c>
      <c r="F8" s="7" t="s">
        <v>37</v>
      </c>
      <c r="G8" s="7"/>
      <c r="H8" s="7"/>
      <c r="I8" s="7"/>
      <c r="J8" s="11"/>
      <c r="K8" s="11"/>
      <c r="L8" s="21"/>
      <c r="M8" s="21"/>
      <c r="N8" s="7" t="s">
        <v>40</v>
      </c>
      <c r="O8" s="24">
        <v>0.3</v>
      </c>
      <c r="P8" s="7"/>
      <c r="S8" s="7"/>
      <c r="T8" s="7"/>
      <c r="U8" s="7"/>
      <c r="V8" s="7"/>
      <c r="W8" s="7"/>
      <c r="X8" s="7"/>
    </row>
    <row r="9" ht="18" spans="2:24">
      <c r="B9" s="5" t="s">
        <v>41</v>
      </c>
      <c r="C9" s="7">
        <v>29</v>
      </c>
      <c r="D9" s="7" t="s">
        <v>34</v>
      </c>
      <c r="E9" s="7">
        <v>140.7</v>
      </c>
      <c r="F9" s="7" t="s">
        <v>34</v>
      </c>
      <c r="G9" s="20"/>
      <c r="J9" s="11"/>
      <c r="K9" s="11"/>
      <c r="L9" s="21"/>
      <c r="M9" s="21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ht="18" spans="2:24">
      <c r="B10" s="5" t="s">
        <v>42</v>
      </c>
      <c r="C10" s="18">
        <v>2.7</v>
      </c>
      <c r="D10" s="7" t="s">
        <v>37</v>
      </c>
      <c r="E10" s="18">
        <v>0.56</v>
      </c>
      <c r="F10" s="7" t="s">
        <v>37</v>
      </c>
      <c r="G10" s="7"/>
      <c r="H10" s="7"/>
      <c r="I10" s="7"/>
      <c r="J10" s="11"/>
      <c r="K10" s="11"/>
      <c r="L10" s="21"/>
      <c r="M10" s="21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ht="18" spans="2:25">
      <c r="B11" s="5" t="s">
        <v>43</v>
      </c>
      <c r="C11" s="18">
        <f>2*C10</f>
        <v>5.4</v>
      </c>
      <c r="D11" s="7" t="s">
        <v>37</v>
      </c>
      <c r="E11" s="18">
        <f>2*E10</f>
        <v>1.12</v>
      </c>
      <c r="F11" s="7" t="s">
        <v>37</v>
      </c>
      <c r="G11" s="21"/>
      <c r="H11" s="21"/>
      <c r="I11" s="21"/>
      <c r="J11" s="7"/>
      <c r="K11" s="11"/>
      <c r="L11" s="11"/>
      <c r="M11" s="11"/>
      <c r="N11" s="11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ht="18" spans="2:25">
      <c r="B12" s="5" t="s">
        <v>44</v>
      </c>
      <c r="C12" s="11">
        <f>C5*SQRT((C11*POWER(10,-9))/(C9*POWER(10,-6)))</f>
        <v>0.682288239221013</v>
      </c>
      <c r="D12" s="7"/>
      <c r="E12" s="11">
        <f>E5*SQRT((E11*POWER(10,-9))/(E9*POWER(10,-6)))</f>
        <v>0.705345615858598</v>
      </c>
      <c r="F12" s="7"/>
      <c r="G12" s="1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ht="18" spans="2:25">
      <c r="B13" s="5" t="s">
        <v>45</v>
      </c>
      <c r="C13" s="11">
        <f>1/(2*3.14*SQRT((C9/POWER(10,6))*(C11/POWER(10,9))))</f>
        <v>402387.496591775</v>
      </c>
      <c r="D13" s="7" t="s">
        <v>29</v>
      </c>
      <c r="E13" s="11">
        <f>1/(2*3.14*SQRT((E9/POWER(10,6))*(E11/POWER(10,9))))</f>
        <v>401129.217390013</v>
      </c>
      <c r="F13" s="7" t="s">
        <v>29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ht="18" spans="2:25">
      <c r="B14" s="5" t="s">
        <v>46</v>
      </c>
      <c r="C14" s="11">
        <f>20*LOG10(C12)</f>
        <v>-3.3206422940395</v>
      </c>
      <c r="D14" s="7" t="s">
        <v>47</v>
      </c>
      <c r="E14" s="11">
        <f>20*LOG10(E12)</f>
        <v>-3.03196057420489</v>
      </c>
      <c r="F14" s="7" t="s">
        <v>47</v>
      </c>
      <c r="G14" s="7"/>
      <c r="H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2:25">
      <c r="B15" s="19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2:25">
      <c r="B16" s="19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2:25">
      <c r="B17" s="19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2:25">
      <c r="B18" s="19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2:25">
      <c r="B19" s="19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2:25">
      <c r="B20" s="19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2:25">
      <c r="B21" s="19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2:25">
      <c r="B22" s="19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2:25">
      <c r="B23" s="19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2:25">
      <c r="B24" s="19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2:25">
      <c r="B25" s="19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2:25">
      <c r="B26" s="19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2:25">
      <c r="B27" s="19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2:25">
      <c r="B28" s="19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2:25">
      <c r="B29" s="19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2:25">
      <c r="B30" s="19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2:25">
      <c r="B31" s="19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2:25">
      <c r="B32" s="19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2:25">
      <c r="B33" s="19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2:25">
      <c r="B34" s="19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12"/>
  <sheetViews>
    <sheetView zoomScale="107" zoomScaleNormal="107" workbookViewId="0">
      <selection activeCell="B2" sqref="B2"/>
    </sheetView>
  </sheetViews>
  <sheetFormatPr defaultColWidth="9" defaultRowHeight="16.8"/>
  <cols>
    <col min="2" max="2" width="15.5625" customWidth="1"/>
    <col min="3" max="3" width="10.5625" customWidth="1"/>
    <col min="4" max="4" width="15.5625" customWidth="1"/>
    <col min="5" max="7" width="20.5625" customWidth="1"/>
    <col min="8" max="9" width="10.5625" customWidth="1"/>
    <col min="10" max="13" width="20.5625" customWidth="1"/>
  </cols>
  <sheetData>
    <row r="2" ht="18" spans="2:13">
      <c r="B2" s="5" t="s">
        <v>28</v>
      </c>
      <c r="C2" s="5" t="s">
        <v>30</v>
      </c>
      <c r="D2" s="5" t="s">
        <v>32</v>
      </c>
      <c r="E2" s="5" t="s">
        <v>33</v>
      </c>
      <c r="F2" s="5" t="s">
        <v>36</v>
      </c>
      <c r="G2" s="5" t="s">
        <v>39</v>
      </c>
      <c r="H2" s="5" t="s">
        <v>41</v>
      </c>
      <c r="I2" s="5" t="s">
        <v>42</v>
      </c>
      <c r="J2" s="5" t="s">
        <v>43</v>
      </c>
      <c r="K2" s="5" t="s">
        <v>44</v>
      </c>
      <c r="L2" s="5" t="s">
        <v>45</v>
      </c>
      <c r="M2" s="5" t="s">
        <v>46</v>
      </c>
    </row>
    <row r="3" s="3" customFormat="1" spans="2:13">
      <c r="B3" s="6">
        <v>400000</v>
      </c>
      <c r="C3" s="6">
        <v>100</v>
      </c>
      <c r="D3" s="6">
        <f>C3/2</f>
        <v>50</v>
      </c>
      <c r="E3" s="9">
        <f>((D3*SQRT(2))/(2*3.14*B3))*1000000</f>
        <v>28.1491553020122</v>
      </c>
      <c r="F3" s="10">
        <f>(1/(2*3.14*B3*D3*SQRT(2)))*1000000000</f>
        <v>5.62983106040245</v>
      </c>
      <c r="G3" s="9">
        <f>F3/2</f>
        <v>2.81491553020122</v>
      </c>
      <c r="H3" s="9">
        <v>28.14</v>
      </c>
      <c r="I3" s="9">
        <v>2.7</v>
      </c>
      <c r="J3" s="9">
        <f>2*I3</f>
        <v>5.4</v>
      </c>
      <c r="K3" s="9">
        <f>D3*SQRT((J3*POWER(10,-9))/(H3*POWER(10,-6)))</f>
        <v>0.692635644809415</v>
      </c>
      <c r="L3" s="9">
        <f>1/(2*3.14*SQRT((H3/POWER(10,6))*(J3/POWER(10,9))))</f>
        <v>408490.000477362</v>
      </c>
      <c r="M3" s="9">
        <f>20*LOG10(K3)</f>
        <v>-3.18990324603721</v>
      </c>
    </row>
    <row r="4" spans="2:13">
      <c r="B4" s="7">
        <v>200000</v>
      </c>
      <c r="C4" s="7">
        <v>100</v>
      </c>
      <c r="D4" s="7">
        <f>C4/2</f>
        <v>50</v>
      </c>
      <c r="E4" s="11">
        <f>((D4*SQRT(2))/(2*3.14*B4))*1000000</f>
        <v>56.2983106040245</v>
      </c>
      <c r="F4" s="12">
        <f>(1/(2*3.14*B4*D4*SQRT(2)))*1000000000</f>
        <v>11.2596621208049</v>
      </c>
      <c r="G4" s="11">
        <f>F4/2</f>
        <v>5.62983106040245</v>
      </c>
      <c r="H4" s="11">
        <v>56.2</v>
      </c>
      <c r="I4" s="11">
        <v>5.6</v>
      </c>
      <c r="J4" s="11">
        <f>2*I4</f>
        <v>11.2</v>
      </c>
      <c r="K4" s="11">
        <f>D4*SQRT((J4*POWER(10,-9))/(H4*POWER(10,-6)))</f>
        <v>0.705847462678301</v>
      </c>
      <c r="L4" s="11">
        <f>1/(2*3.14*SQRT((H4/POWER(10,6))*(J4/POWER(10,9))))</f>
        <v>200707.308541373</v>
      </c>
      <c r="M4" s="11">
        <f>20*LOG10(K4)</f>
        <v>-3.02578284226842</v>
      </c>
    </row>
    <row r="5" spans="2:13">
      <c r="B5" s="7">
        <v>100000</v>
      </c>
      <c r="C5" s="7">
        <v>100</v>
      </c>
      <c r="D5" s="7">
        <f>C5/2</f>
        <v>50</v>
      </c>
      <c r="E5" s="11">
        <f>((D5*SQRT(2))/(2*3.14*B5))*1000000</f>
        <v>112.596621208049</v>
      </c>
      <c r="F5" s="12">
        <f>(1/(2*3.14*B5*D5*SQRT(2)))*1000000000</f>
        <v>22.5193242416098</v>
      </c>
      <c r="G5" s="11">
        <f>F5/2</f>
        <v>11.2596621208049</v>
      </c>
      <c r="H5" s="11">
        <v>112</v>
      </c>
      <c r="I5" s="11">
        <v>10</v>
      </c>
      <c r="J5" s="11">
        <f>2*I5</f>
        <v>20</v>
      </c>
      <c r="K5" s="11">
        <f>D5*SQRT((J5*POWER(10,-9))/(H5*POWER(10,-6)))</f>
        <v>0.668153104781061</v>
      </c>
      <c r="L5" s="11">
        <f>1/(2*3.14*SQRT((H5/POWER(10,6))*(J5/POWER(10,9))))</f>
        <v>106393.8064938</v>
      </c>
      <c r="M5" s="11">
        <f>20*LOG10(K5)</f>
        <v>-3.50248018334163</v>
      </c>
    </row>
    <row r="6" spans="2:13">
      <c r="B6" s="7">
        <v>25000</v>
      </c>
      <c r="C6" s="7">
        <v>100</v>
      </c>
      <c r="D6" s="7">
        <f t="shared" ref="D6:D12" si="0">C6/2</f>
        <v>50</v>
      </c>
      <c r="E6" s="11">
        <f t="shared" ref="E6:E12" si="1">((D6*SQRT(2))/(2*3.14*B6))*1000000</f>
        <v>450.386484832196</v>
      </c>
      <c r="F6" s="12">
        <f t="shared" ref="F6:F12" si="2">(1/(2*3.14*B6*D6*SQRT(2)))*1000000000</f>
        <v>90.0772969664392</v>
      </c>
      <c r="G6" s="11">
        <f t="shared" ref="G6:G12" si="3">F6/2</f>
        <v>45.0386484832196</v>
      </c>
      <c r="H6" s="11">
        <v>450.4</v>
      </c>
      <c r="I6" s="11">
        <v>47</v>
      </c>
      <c r="J6" s="11">
        <f t="shared" ref="J6:J12" si="4">2*I6</f>
        <v>94</v>
      </c>
      <c r="K6" s="11">
        <f t="shared" ref="K6:K12" si="5">D6*SQRT((J6*POWER(10,-9))/(H6*POWER(10,-6)))</f>
        <v>0.722328482717481</v>
      </c>
      <c r="L6" s="11">
        <f t="shared" ref="L6:L12" si="6">1/(2*3.14*SQRT((H6/POWER(10,6))*(J6/POWER(10,9))))</f>
        <v>24472.438091797</v>
      </c>
      <c r="M6" s="11">
        <f t="shared" ref="M6:M12" si="7">20*LOG10(K6)</f>
        <v>-2.82530519571553</v>
      </c>
    </row>
    <row r="7" spans="2:13">
      <c r="B7" s="7">
        <v>20000</v>
      </c>
      <c r="C7" s="7">
        <v>100</v>
      </c>
      <c r="D7" s="7">
        <f t="shared" si="0"/>
        <v>50</v>
      </c>
      <c r="E7" s="11">
        <f t="shared" si="1"/>
        <v>562.983106040245</v>
      </c>
      <c r="F7" s="12">
        <f t="shared" si="2"/>
        <v>112.596621208049</v>
      </c>
      <c r="G7" s="11">
        <f t="shared" si="3"/>
        <v>56.2983106040245</v>
      </c>
      <c r="H7" s="11">
        <v>563</v>
      </c>
      <c r="I7" s="11">
        <v>56</v>
      </c>
      <c r="J7" s="11">
        <f t="shared" si="4"/>
        <v>112</v>
      </c>
      <c r="K7" s="11">
        <f t="shared" si="5"/>
        <v>0.70522032131709</v>
      </c>
      <c r="L7" s="11">
        <f t="shared" si="6"/>
        <v>20052.8981266233</v>
      </c>
      <c r="M7" s="11">
        <f t="shared" si="7"/>
        <v>-3.03350363509127</v>
      </c>
    </row>
    <row r="8" s="4" customFormat="1" spans="2:13">
      <c r="B8" s="8">
        <v>400000</v>
      </c>
      <c r="C8" s="8">
        <v>500</v>
      </c>
      <c r="D8" s="8">
        <f t="shared" si="0"/>
        <v>250</v>
      </c>
      <c r="E8" s="13">
        <f t="shared" si="1"/>
        <v>140.745776510061</v>
      </c>
      <c r="F8" s="14">
        <f t="shared" si="2"/>
        <v>1.12596621208049</v>
      </c>
      <c r="G8" s="13">
        <f t="shared" si="3"/>
        <v>0.562983106040245</v>
      </c>
      <c r="H8" s="13">
        <v>140.7</v>
      </c>
      <c r="I8" s="13">
        <v>0.56</v>
      </c>
      <c r="J8" s="13">
        <f t="shared" si="4"/>
        <v>1.12</v>
      </c>
      <c r="K8" s="13">
        <f t="shared" si="5"/>
        <v>0.705345615858598</v>
      </c>
      <c r="L8" s="13">
        <f t="shared" si="6"/>
        <v>401129.217390013</v>
      </c>
      <c r="M8" s="13">
        <f t="shared" si="7"/>
        <v>-3.03196057420489</v>
      </c>
    </row>
    <row r="9" spans="2:13">
      <c r="B9" s="7">
        <v>200000</v>
      </c>
      <c r="C9" s="7">
        <v>500</v>
      </c>
      <c r="D9" s="7">
        <f t="shared" si="0"/>
        <v>250</v>
      </c>
      <c r="E9" s="11">
        <f t="shared" si="1"/>
        <v>281.491553020122</v>
      </c>
      <c r="F9" s="12">
        <f t="shared" si="2"/>
        <v>2.25193242416098</v>
      </c>
      <c r="G9" s="11">
        <f t="shared" si="3"/>
        <v>1.12596621208049</v>
      </c>
      <c r="H9" s="11">
        <v>281.5</v>
      </c>
      <c r="I9" s="11">
        <v>1</v>
      </c>
      <c r="J9" s="11">
        <f t="shared" si="4"/>
        <v>2</v>
      </c>
      <c r="K9" s="11">
        <f t="shared" si="5"/>
        <v>0.666370567755029</v>
      </c>
      <c r="L9" s="11">
        <f t="shared" si="6"/>
        <v>212219.926036633</v>
      </c>
      <c r="M9" s="11">
        <f t="shared" si="7"/>
        <v>-3.52568386179308</v>
      </c>
    </row>
    <row r="10" spans="2:13">
      <c r="B10" s="7">
        <v>25000</v>
      </c>
      <c r="C10" s="7">
        <v>500</v>
      </c>
      <c r="D10" s="7">
        <f t="shared" si="0"/>
        <v>250</v>
      </c>
      <c r="E10" s="11">
        <f t="shared" si="1"/>
        <v>2251.93242416098</v>
      </c>
      <c r="F10" s="12">
        <f t="shared" si="2"/>
        <v>18.0154593932878</v>
      </c>
      <c r="G10" s="11">
        <f t="shared" si="3"/>
        <v>9.00772969664392</v>
      </c>
      <c r="H10" s="11">
        <v>2252</v>
      </c>
      <c r="I10" s="11">
        <v>8.6</v>
      </c>
      <c r="J10" s="11">
        <f t="shared" si="4"/>
        <v>17.2</v>
      </c>
      <c r="K10" s="11">
        <f t="shared" si="5"/>
        <v>0.690907709891793</v>
      </c>
      <c r="L10" s="11">
        <f t="shared" si="6"/>
        <v>25585.3840131756</v>
      </c>
      <c r="M10" s="11">
        <f t="shared" si="7"/>
        <v>-3.21159921927684</v>
      </c>
    </row>
    <row r="11" spans="2:13">
      <c r="B11" s="7">
        <v>20000</v>
      </c>
      <c r="C11" s="7">
        <v>500</v>
      </c>
      <c r="D11" s="7">
        <f t="shared" si="0"/>
        <v>250</v>
      </c>
      <c r="E11" s="11">
        <f t="shared" si="1"/>
        <v>2814.91553020122</v>
      </c>
      <c r="F11" s="12">
        <f t="shared" si="2"/>
        <v>22.5193242416098</v>
      </c>
      <c r="G11" s="11">
        <f t="shared" si="3"/>
        <v>11.2596621208049</v>
      </c>
      <c r="H11" s="11">
        <v>2815</v>
      </c>
      <c r="I11" s="11">
        <v>10</v>
      </c>
      <c r="J11" s="11">
        <f t="shared" si="4"/>
        <v>20</v>
      </c>
      <c r="K11" s="11">
        <f t="shared" si="5"/>
        <v>0.666370567755029</v>
      </c>
      <c r="L11" s="11">
        <f t="shared" si="6"/>
        <v>21221.9926036634</v>
      </c>
      <c r="M11" s="11">
        <f t="shared" si="7"/>
        <v>-3.52568386179308</v>
      </c>
    </row>
    <row r="12" s="4" customFormat="1" spans="2:13">
      <c r="B12" s="8">
        <v>100000</v>
      </c>
      <c r="C12" s="8">
        <v>500</v>
      </c>
      <c r="D12" s="8">
        <f t="shared" si="0"/>
        <v>250</v>
      </c>
      <c r="E12" s="13">
        <f t="shared" si="1"/>
        <v>562.983106040245</v>
      </c>
      <c r="F12" s="14">
        <f t="shared" si="2"/>
        <v>4.50386484832196</v>
      </c>
      <c r="G12" s="13">
        <f t="shared" si="3"/>
        <v>2.25193242416098</v>
      </c>
      <c r="H12" s="13">
        <v>560</v>
      </c>
      <c r="I12" s="13">
        <v>2.2</v>
      </c>
      <c r="J12" s="13">
        <f t="shared" si="4"/>
        <v>4.4</v>
      </c>
      <c r="K12" s="13">
        <f t="shared" si="5"/>
        <v>0.700764888226735</v>
      </c>
      <c r="L12" s="13">
        <f t="shared" si="6"/>
        <v>101442.514219273</v>
      </c>
      <c r="M12" s="13">
        <f t="shared" si="7"/>
        <v>-3.08855333175938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C4" sqref="C4"/>
    </sheetView>
  </sheetViews>
  <sheetFormatPr defaultColWidth="9" defaultRowHeight="16.8" outlineLevelRow="3"/>
  <cols>
    <col min="1" max="3" width="9" customWidth="1"/>
    <col min="4" max="10" width="9" style="1" customWidth="1"/>
    <col min="11" max="11" width="9" customWidth="1"/>
  </cols>
  <sheetData>
    <row r="1" spans="4:8">
      <c r="D1" s="1" t="s">
        <v>48</v>
      </c>
      <c r="E1" s="1" t="s">
        <v>49</v>
      </c>
      <c r="F1" s="1" t="s">
        <v>28</v>
      </c>
      <c r="G1" s="1" t="s">
        <v>48</v>
      </c>
      <c r="H1" s="1" t="s">
        <v>49</v>
      </c>
    </row>
    <row r="2" spans="1:11">
      <c r="A2">
        <v>1</v>
      </c>
      <c r="B2">
        <v>1</v>
      </c>
      <c r="C2">
        <v>2.8915</v>
      </c>
      <c r="D2" s="1">
        <f>0.693*(A2+B2)*C2/1000</f>
        <v>0.004007619</v>
      </c>
      <c r="E2" s="1">
        <f>0.693*B2*C2/1000</f>
        <v>0.0020038095</v>
      </c>
      <c r="F2" s="1">
        <f>1/(D2+E2)</f>
        <v>166.349811862522</v>
      </c>
      <c r="G2" s="1">
        <f>100*D2/(D2+E2)</f>
        <v>66.6666666666667</v>
      </c>
      <c r="H2" s="1">
        <f>100*E2/(D2+E2)</f>
        <v>33.3333333333333</v>
      </c>
      <c r="K2" s="2"/>
    </row>
    <row r="3" spans="1:8">
      <c r="A3">
        <v>1</v>
      </c>
      <c r="B3">
        <v>22</v>
      </c>
      <c r="C3">
        <v>0.1</v>
      </c>
      <c r="D3" s="1">
        <f>0.693*(A3+B3)*C3/1000</f>
        <v>0.0015939</v>
      </c>
      <c r="E3" s="1">
        <f>0.693*B3*C3/1000</f>
        <v>0.0015246</v>
      </c>
      <c r="F3" s="1">
        <f>1/(D3+E3)</f>
        <v>320.666987333654</v>
      </c>
      <c r="G3" s="1">
        <f>100*D3/(D3+E3)</f>
        <v>51.1111111111111</v>
      </c>
      <c r="H3" s="1">
        <f>100*E3/(D3+E3)</f>
        <v>48.8888888888889</v>
      </c>
    </row>
    <row r="4" spans="1:8">
      <c r="A4">
        <v>1</v>
      </c>
      <c r="B4">
        <v>27</v>
      </c>
      <c r="C4">
        <v>2</v>
      </c>
      <c r="D4" s="1">
        <f>0.693*(A4+B4)*C4/1000</f>
        <v>0.038808</v>
      </c>
      <c r="E4" s="1">
        <f>0.693*B4*C4/1000</f>
        <v>0.037422</v>
      </c>
      <c r="F4" s="1">
        <f>1/(D4+E4)</f>
        <v>13.1181949363768</v>
      </c>
      <c r="G4" s="1">
        <f>100*D4/(D4+E4)</f>
        <v>50.9090909090909</v>
      </c>
      <c r="H4" s="1">
        <f>100*E4/(D4+E4)</f>
        <v>49.0909090909091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ETD</vt:lpstr>
      <vt:lpstr>Toroid</vt:lpstr>
      <vt:lpstr>Sheet3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margabudi</dc:creator>
  <cp:lastModifiedBy>MM</cp:lastModifiedBy>
  <dcterms:created xsi:type="dcterms:W3CDTF">2025-07-12T06:16:00Z</dcterms:created>
  <dcterms:modified xsi:type="dcterms:W3CDTF">2026-08-06T16:32:28Z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592519C75011201DCD747868619E0F8E_43</vt:lpwstr>
  </property>
  <property fmtid="{D5CDD505-2E9C-101B-9397-08002B2CF9AE}" pid="3" name="KSOProductBuildVer">
    <vt:lpwstr>1033-6.13.1.8709</vt:lpwstr>
  </property>
  <property fmtid="{D5CDD505-2E9C-101B-9397-08002B2CF9AE}" pid="4" name="KSOReadingLayout">
    <vt:bool>true</vt:bool>
  </property>
</Properties>
</file>