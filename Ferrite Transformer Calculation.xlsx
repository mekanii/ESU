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3060" activeTab="3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<sst xmlns="http://schemas.openxmlformats.org/spreadsheetml/2006/main" count="94" uniqueCount="47">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</sst>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Arial Bold"/>
      <charset val="134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78" fontId="1" fillId="2" borderId="0" xfId="1" applyNumberFormat="1" applyFont="1" applyFill="1">
      <alignment vertical="center"/>
    </xf>
    <xf numFmtId="178" fontId="1" fillId="0" borderId="0" xfId="1" applyNumberFormat="1" applyFont="1">
      <alignment vertical="center"/>
    </xf>
    <xf numFmtId="178" fontId="1" fillId="3" borderId="0" xfId="1" applyNumberFormat="1" applyFont="1" applyFill="1">
      <alignment vertical="center"/>
    </xf>
    <xf numFmtId="179" fontId="1" fillId="2" borderId="0" xfId="1" applyNumberFormat="1" applyFont="1" applyFill="1">
      <alignment vertical="center"/>
    </xf>
    <xf numFmtId="180" fontId="1" fillId="2" borderId="0" xfId="1" applyNumberFormat="1" applyFont="1" applyFill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179" fontId="1" fillId="3" borderId="0" xfId="1" applyNumberFormat="1" applyFont="1" applyFill="1">
      <alignment vertical="center"/>
    </xf>
    <xf numFmtId="180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1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186" fontId="1" fillId="0" borderId="0" xfId="0" applyNumberFormat="1" applyFont="1">
      <alignment vertical="center"/>
    </xf>
    <xf numFmtId="186" fontId="1" fillId="4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8" fontId="1" fillId="4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37" customWidth="1"/>
    <col min="2" max="4" width="10.5625" style="37" customWidth="1"/>
    <col min="5" max="5" width="20.5625" style="37" customWidth="1"/>
    <col min="6" max="6" width="15.5625" style="37" customWidth="1"/>
    <col min="7" max="7" width="30.5625" style="40" customWidth="1"/>
    <col min="8" max="8" width="10.5625" style="37" customWidth="1"/>
    <col min="9" max="9" width="15.5625" style="13" customWidth="1"/>
    <col min="10" max="13" width="10.5625" style="13" customWidth="1"/>
    <col min="14" max="14" width="9" style="13"/>
    <col min="15" max="15" width="20.5625" style="13" customWidth="1"/>
    <col min="16" max="17" width="10.5625" style="13" customWidth="1"/>
    <col min="18" max="16384" width="9" style="13"/>
  </cols>
  <sheetData>
    <row r="1" spans="1:8">
      <c r="A1" s="13"/>
      <c r="B1" s="13"/>
      <c r="C1" s="13"/>
      <c r="D1" s="13"/>
      <c r="E1" s="13"/>
      <c r="F1" s="13"/>
      <c r="G1" s="26"/>
      <c r="H1" s="13"/>
    </row>
    <row r="2" s="39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41">
        <f>3.14*POWER(D3,2)/4</f>
        <v>78.5</v>
      </c>
      <c r="F3" s="41">
        <v>1898.58</v>
      </c>
      <c r="G3" s="42">
        <f>(B3*POWER(10,10))/(4*C3*F3*E3)</f>
        <v>3.01935345175506</v>
      </c>
      <c r="H3" s="43" t="str">
        <f>IF((B3*POWER(10,10))/(4*C3*G3*E3)&gt;1200,IF((B3*POWER(10,10))/(4*C3*G3*E3)&lt;2000,"OK","NG"),"NG")</f>
        <v>OK</v>
      </c>
      <c r="I3" s="37">
        <f>B3/G3</f>
        <v>23.8461648</v>
      </c>
      <c r="J3" s="37">
        <f>B3*3</f>
        <v>216</v>
      </c>
      <c r="K3" s="34">
        <v>0.5</v>
      </c>
      <c r="L3" s="37">
        <f>J3*K3</f>
        <v>108</v>
      </c>
      <c r="M3" s="34">
        <f>L3/B3</f>
        <v>1.5</v>
      </c>
      <c r="N3" s="37">
        <f>J3/I3</f>
        <v>9.05806035526518</v>
      </c>
      <c r="O3" s="37">
        <v>1.5</v>
      </c>
      <c r="P3" s="44">
        <f>SQRT((M3*0.9/(O3+5))/0.9)</f>
        <v>0.480384461415261</v>
      </c>
      <c r="Q3" s="44">
        <f>SQRT((K3*0.9/(O3+5))/0.9)</f>
        <v>0.277350098112615</v>
      </c>
      <c r="R3" s="13">
        <v>1</v>
      </c>
      <c r="S3" s="13">
        <v>1</v>
      </c>
      <c r="T3" s="13">
        <f>IF(((M3*0.9/(O3+5)))/(R3*R3*1)&lt;1,1,((M3*0.9/(O3+5))/(R3*R3*1)))</f>
        <v>1</v>
      </c>
      <c r="U3" s="13">
        <f>IF(((K3*0.9/(O3+5)))/(S3*S3*1)&lt;1,1,((K3*0.9/(O3+5))/(S3*S3*1)))</f>
        <v>1</v>
      </c>
    </row>
    <row r="4" spans="1:21">
      <c r="A4" s="28">
        <v>2</v>
      </c>
      <c r="B4" s="28">
        <v>72</v>
      </c>
      <c r="C4" s="28">
        <v>400000</v>
      </c>
      <c r="D4" s="28">
        <v>10</v>
      </c>
      <c r="E4" s="41">
        <f>3.14*POWER(D4,2)/4</f>
        <v>78.5</v>
      </c>
      <c r="F4" s="41">
        <v>1898.58</v>
      </c>
      <c r="G4" s="42">
        <f>(B4*POWER(10,10))/(4*C4*F4*E4)</f>
        <v>3.01935345175506</v>
      </c>
      <c r="H4" s="43" t="str">
        <f>IF((B4*POWER(10,10))/(4*C4*G4*E4)&gt;1200,IF((B4*POWER(10,10))/(4*C4*G4*E4)&lt;2000,"OK","NG"),"NG")</f>
        <v>OK</v>
      </c>
      <c r="I4" s="37">
        <f>B4/G4</f>
        <v>23.8461648</v>
      </c>
      <c r="J4" s="37">
        <f>B4*3</f>
        <v>216</v>
      </c>
      <c r="K4" s="34">
        <v>0.5</v>
      </c>
      <c r="L4" s="37">
        <f>J4*K4</f>
        <v>108</v>
      </c>
      <c r="M4" s="34">
        <f>L4/B4</f>
        <v>1.5</v>
      </c>
      <c r="N4" s="37">
        <f>J4/I4</f>
        <v>9.05806035526518</v>
      </c>
      <c r="O4" s="37">
        <v>1.5</v>
      </c>
      <c r="P4" s="44">
        <f>SQRT((M4*0.9/(O4+5))/0.9)</f>
        <v>0.480384461415261</v>
      </c>
      <c r="Q4" s="44">
        <f>SQRT((K4*0.9/(O4+5))/0.9)</f>
        <v>0.277350098112615</v>
      </c>
      <c r="R4" s="13">
        <v>1</v>
      </c>
      <c r="S4" s="13">
        <v>1</v>
      </c>
      <c r="T4" s="13">
        <f>IF(((M4*0.9/(O4+5)))/(R4*R4*1)&lt;1,1,((M4*0.9/(O4+5))/(R4*R4*1)))</f>
        <v>1</v>
      </c>
      <c r="U4" s="13">
        <f>IF(((K4*0.9/(O4+5)))/(S4*S4*1)&lt;1,1,((K4*0.9/(O4+5))/(S4*S4*1)))</f>
        <v>1</v>
      </c>
    </row>
    <row r="5" spans="1:8">
      <c r="A5" s="28"/>
      <c r="B5" s="28"/>
      <c r="C5" s="28"/>
      <c r="D5" s="28"/>
      <c r="E5" s="28"/>
      <c r="F5" s="28"/>
      <c r="G5" s="42"/>
      <c r="H5" s="28"/>
    </row>
    <row r="6" spans="1:8">
      <c r="A6" s="28"/>
      <c r="B6" s="28"/>
      <c r="C6" s="28"/>
      <c r="D6" s="28"/>
      <c r="E6" s="28"/>
      <c r="F6" s="28"/>
      <c r="G6" s="42"/>
      <c r="H6" s="28"/>
    </row>
    <row r="7" spans="1:8">
      <c r="A7" s="28"/>
      <c r="B7" s="28"/>
      <c r="C7" s="28"/>
      <c r="D7" s="28"/>
      <c r="E7" s="28"/>
      <c r="F7" s="28"/>
      <c r="G7" s="42"/>
      <c r="H7" s="28"/>
    </row>
    <row r="8" spans="1:8">
      <c r="A8" s="28"/>
      <c r="B8" s="28"/>
      <c r="C8" s="28"/>
      <c r="D8" s="28"/>
      <c r="E8" s="28"/>
      <c r="F8" s="28"/>
      <c r="G8" s="42"/>
      <c r="H8" s="28"/>
    </row>
    <row r="9" spans="1:8">
      <c r="A9" s="28"/>
      <c r="B9" s="28"/>
      <c r="C9" s="28"/>
      <c r="D9" s="28"/>
      <c r="E9" s="28"/>
      <c r="F9" s="28"/>
      <c r="G9" s="42"/>
      <c r="H9" s="28"/>
    </row>
    <row r="10" spans="1:8">
      <c r="A10" s="28"/>
      <c r="B10" s="28"/>
      <c r="C10" s="28"/>
      <c r="D10" s="28"/>
      <c r="E10" s="28"/>
      <c r="F10" s="28"/>
      <c r="G10" s="42"/>
      <c r="H10" s="28"/>
    </row>
    <row r="11" spans="1:8">
      <c r="A11" s="28"/>
      <c r="B11" s="28"/>
      <c r="C11" s="28"/>
      <c r="D11" s="28"/>
      <c r="E11" s="28"/>
      <c r="F11" s="28"/>
      <c r="G11" s="42"/>
      <c r="H11" s="28"/>
    </row>
    <row r="12" spans="1:8">
      <c r="A12" s="28"/>
      <c r="B12" s="28"/>
      <c r="C12" s="28"/>
      <c r="D12" s="28"/>
      <c r="E12" s="28"/>
      <c r="F12" s="28"/>
      <c r="G12" s="42"/>
      <c r="H12" s="28"/>
    </row>
    <row r="13" spans="1:8">
      <c r="A13" s="28"/>
      <c r="B13" s="28"/>
      <c r="C13" s="28"/>
      <c r="D13" s="28"/>
      <c r="E13" s="28"/>
      <c r="F13" s="28"/>
      <c r="G13" s="42"/>
      <c r="H13" s="28"/>
    </row>
    <row r="14" spans="1:8">
      <c r="A14" s="28"/>
      <c r="B14" s="28"/>
      <c r="C14" s="28"/>
      <c r="D14" s="28"/>
      <c r="E14" s="28"/>
      <c r="F14" s="28"/>
      <c r="G14" s="42"/>
      <c r="H14" s="28"/>
    </row>
    <row r="15" spans="1:8">
      <c r="A15" s="28"/>
      <c r="B15" s="28"/>
      <c r="C15" s="28"/>
      <c r="D15" s="28"/>
      <c r="E15" s="28"/>
      <c r="F15" s="28"/>
      <c r="G15" s="42"/>
      <c r="H15" s="28"/>
    </row>
    <row r="16" spans="1:8">
      <c r="A16" s="28"/>
      <c r="B16" s="28"/>
      <c r="C16" s="28"/>
      <c r="D16" s="28"/>
      <c r="E16" s="28"/>
      <c r="F16" s="28"/>
      <c r="G16" s="42"/>
      <c r="H16" s="28"/>
    </row>
    <row r="17" spans="1:8">
      <c r="A17" s="28"/>
      <c r="B17" s="28"/>
      <c r="C17" s="28"/>
      <c r="D17" s="28"/>
      <c r="E17" s="28"/>
      <c r="F17" s="28"/>
      <c r="G17" s="42"/>
      <c r="H17" s="28"/>
    </row>
    <row r="18" spans="1:8">
      <c r="A18" s="28"/>
      <c r="B18" s="28"/>
      <c r="C18" s="28"/>
      <c r="D18" s="28"/>
      <c r="E18" s="28"/>
      <c r="F18" s="28"/>
      <c r="G18" s="42"/>
      <c r="H18" s="28"/>
    </row>
    <row r="19" spans="1:8">
      <c r="A19" s="28"/>
      <c r="B19" s="28"/>
      <c r="C19" s="28"/>
      <c r="D19" s="28"/>
      <c r="E19" s="28"/>
      <c r="F19" s="28"/>
      <c r="G19" s="42"/>
      <c r="H19" s="28"/>
    </row>
    <row r="20" spans="1:8">
      <c r="A20" s="28"/>
      <c r="B20" s="28"/>
      <c r="C20" s="28"/>
      <c r="D20" s="28"/>
      <c r="E20" s="28"/>
      <c r="F20" s="28"/>
      <c r="G20" s="42"/>
      <c r="H20" s="28"/>
    </row>
    <row r="21" spans="1:8">
      <c r="A21" s="28"/>
      <c r="B21" s="28"/>
      <c r="C21" s="28"/>
      <c r="D21" s="28"/>
      <c r="E21" s="28"/>
      <c r="F21" s="28"/>
      <c r="G21" s="42"/>
      <c r="H21" s="28"/>
    </row>
    <row r="22" spans="1:8">
      <c r="A22" s="28"/>
      <c r="B22" s="28"/>
      <c r="C22" s="28"/>
      <c r="D22" s="28"/>
      <c r="E22" s="28"/>
      <c r="F22" s="28"/>
      <c r="G22" s="42"/>
      <c r="H22" s="28"/>
    </row>
    <row r="23" spans="1:8">
      <c r="A23" s="28"/>
      <c r="B23" s="28"/>
      <c r="C23" s="28"/>
      <c r="D23" s="28"/>
      <c r="E23" s="28"/>
      <c r="F23" s="28"/>
      <c r="G23" s="42"/>
      <c r="H23" s="28"/>
    </row>
    <row r="24" spans="1:8">
      <c r="A24" s="28"/>
      <c r="B24" s="28"/>
      <c r="C24" s="28"/>
      <c r="D24" s="28"/>
      <c r="E24" s="28"/>
      <c r="F24" s="28"/>
      <c r="G24" s="42"/>
      <c r="H24" s="28"/>
    </row>
    <row r="25" spans="1:8">
      <c r="A25" s="28"/>
      <c r="B25" s="28"/>
      <c r="C25" s="28"/>
      <c r="D25" s="28"/>
      <c r="E25" s="28"/>
      <c r="F25" s="28"/>
      <c r="G25" s="42"/>
      <c r="H25" s="28"/>
    </row>
    <row r="26" spans="1:8">
      <c r="A26" s="28"/>
      <c r="B26" s="28"/>
      <c r="C26" s="28"/>
      <c r="D26" s="28"/>
      <c r="E26" s="28"/>
      <c r="F26" s="28"/>
      <c r="G26" s="42"/>
      <c r="H26" s="28"/>
    </row>
    <row r="27" spans="1:8">
      <c r="A27" s="28"/>
      <c r="B27" s="28"/>
      <c r="C27" s="28"/>
      <c r="D27" s="28"/>
      <c r="E27" s="28"/>
      <c r="F27" s="28"/>
      <c r="G27" s="42"/>
      <c r="H27" s="28"/>
    </row>
    <row r="28" spans="1:8">
      <c r="A28" s="28"/>
      <c r="B28" s="28"/>
      <c r="C28" s="28"/>
      <c r="D28" s="28"/>
      <c r="E28" s="28"/>
      <c r="F28" s="28"/>
      <c r="G28" s="42"/>
      <c r="H28" s="28"/>
    </row>
    <row r="29" spans="1:8">
      <c r="A29" s="28"/>
      <c r="B29" s="28"/>
      <c r="C29" s="28"/>
      <c r="D29" s="28"/>
      <c r="E29" s="28"/>
      <c r="F29" s="28"/>
      <c r="G29" s="42"/>
      <c r="H29" s="28"/>
    </row>
    <row r="30" spans="1:8">
      <c r="A30" s="28"/>
      <c r="B30" s="28"/>
      <c r="C30" s="28"/>
      <c r="D30" s="28"/>
      <c r="E30" s="28"/>
      <c r="F30" s="28"/>
      <c r="G30" s="42"/>
      <c r="H30" s="28"/>
    </row>
    <row r="31" spans="1:8">
      <c r="A31" s="28"/>
      <c r="B31" s="28"/>
      <c r="C31" s="28"/>
      <c r="D31" s="28"/>
      <c r="E31" s="28"/>
      <c r="F31" s="28"/>
      <c r="G31" s="42"/>
      <c r="H31" s="28"/>
    </row>
    <row r="32" spans="1:8">
      <c r="A32" s="28"/>
      <c r="B32" s="28"/>
      <c r="C32" s="28"/>
      <c r="D32" s="28"/>
      <c r="E32" s="28"/>
      <c r="F32" s="28"/>
      <c r="G32" s="42"/>
      <c r="H32" s="28"/>
    </row>
    <row r="33" spans="1:8">
      <c r="A33" s="28"/>
      <c r="B33" s="28"/>
      <c r="C33" s="28"/>
      <c r="D33" s="28"/>
      <c r="E33" s="28"/>
      <c r="F33" s="28"/>
      <c r="G33" s="42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zoomScale="78" zoomScaleNormal="78" workbookViewId="0">
      <selection activeCell="M12" sqref="M12"/>
    </sheetView>
  </sheetViews>
  <sheetFormatPr defaultColWidth="9" defaultRowHeight="14.4"/>
  <cols>
    <col min="1" max="1" width="5.5625" style="13" customWidth="1"/>
    <col min="2" max="7" width="10.5625" style="13" customWidth="1"/>
    <col min="8" max="8" width="20.5625" style="13" customWidth="1"/>
    <col min="9" max="9" width="15.5625" style="13" customWidth="1"/>
    <col min="10" max="10" width="30.5625" style="13" customWidth="1"/>
    <col min="11" max="11" width="9" style="13"/>
    <col min="12" max="12" width="15.5625" style="13" customWidth="1"/>
    <col min="13" max="16" width="10.5625" style="13" customWidth="1"/>
    <col min="17" max="17" width="9" style="13"/>
    <col min="18" max="18" width="20.5625" style="13" customWidth="1"/>
    <col min="19" max="20" width="10.5625" style="13" customWidth="1"/>
    <col min="21" max="16384" width="9" style="13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13">
        <v>25</v>
      </c>
      <c r="F3" s="13">
        <v>40</v>
      </c>
      <c r="G3" s="13">
        <v>15</v>
      </c>
      <c r="H3" s="13">
        <f>(F3-E3)*G3/2</f>
        <v>112.5</v>
      </c>
      <c r="I3" s="13">
        <v>1800</v>
      </c>
      <c r="J3" s="13">
        <f>(B3*0.5*POWER(10,10))/(2*C3*I3*H3)</f>
        <v>2.22222222222222</v>
      </c>
      <c r="L3" s="30">
        <f>B3/J3</f>
        <v>32.4</v>
      </c>
      <c r="M3" s="13">
        <v>216</v>
      </c>
      <c r="N3" s="33">
        <v>0.5</v>
      </c>
      <c r="O3" s="13">
        <f>M3*N3</f>
        <v>108</v>
      </c>
      <c r="P3" s="34">
        <f>O3/B3</f>
        <v>1.5</v>
      </c>
      <c r="Q3" s="37">
        <f>M3/L3</f>
        <v>6.66666666666667</v>
      </c>
      <c r="R3" s="34">
        <v>2.5</v>
      </c>
      <c r="S3" s="33">
        <f>SQRT((P3*0.9/(R3+5))/0.9)</f>
        <v>0.447213595499958</v>
      </c>
      <c r="T3" s="33">
        <f>SQRT((N3*0.9/(R3+5))/0.9)</f>
        <v>0.258198889747161</v>
      </c>
      <c r="U3" s="34">
        <f>P3/R3</f>
        <v>0.6</v>
      </c>
    </row>
    <row r="4" s="25" customFormat="1" spans="1:20">
      <c r="A4" s="29"/>
      <c r="B4" s="29">
        <v>72</v>
      </c>
      <c r="C4" s="29">
        <v>400000</v>
      </c>
      <c r="D4" s="29" t="s">
        <v>24</v>
      </c>
      <c r="E4" s="25">
        <v>23</v>
      </c>
      <c r="F4" s="25">
        <v>40</v>
      </c>
      <c r="G4" s="25">
        <v>15</v>
      </c>
      <c r="H4" s="25">
        <f t="shared" ref="H4:H11" si="0">(F4-E4)*G4/2</f>
        <v>127.5</v>
      </c>
      <c r="I4" s="25">
        <v>350</v>
      </c>
      <c r="J4" s="25">
        <f t="shared" ref="J4:J11" si="1">(B4*0.5*POWER(10,10))/(2*C4*I4*H4)</f>
        <v>10.0840336134454</v>
      </c>
      <c r="L4" s="31">
        <f t="shared" ref="L4:L11" si="2">B4/J4</f>
        <v>7.14</v>
      </c>
      <c r="M4" s="25">
        <v>216</v>
      </c>
      <c r="N4" s="35">
        <v>0.5</v>
      </c>
      <c r="O4" s="25">
        <f t="shared" ref="O4:O11" si="3">M4*N4</f>
        <v>108</v>
      </c>
      <c r="P4" s="36">
        <f t="shared" ref="P4:P11" si="4">O4/B4</f>
        <v>1.5</v>
      </c>
      <c r="Q4" s="38">
        <f t="shared" ref="Q4:Q11" si="5">M4/L4</f>
        <v>30.2521008403361</v>
      </c>
      <c r="R4" s="36">
        <v>2.5</v>
      </c>
      <c r="S4" s="35">
        <f t="shared" ref="S4:S11" si="6">SQRT((P4*0.9/(R4+5))/0.9)</f>
        <v>0.447213595499958</v>
      </c>
      <c r="T4" s="35">
        <f t="shared" ref="T4:T11" si="7">SQRT((N4*0.9/(R4+5))/0.9)</f>
        <v>0.258198889747161</v>
      </c>
    </row>
    <row r="5" spans="2:20">
      <c r="B5" s="28">
        <v>72</v>
      </c>
      <c r="C5" s="28">
        <v>400000</v>
      </c>
      <c r="D5" s="28"/>
      <c r="E5" s="13">
        <v>23.13</v>
      </c>
      <c r="F5" s="13">
        <v>39.88</v>
      </c>
      <c r="G5" s="13">
        <v>14.48</v>
      </c>
      <c r="H5" s="13">
        <f t="shared" si="0"/>
        <v>121.27</v>
      </c>
      <c r="I5" s="13">
        <v>600</v>
      </c>
      <c r="J5" s="13">
        <f t="shared" si="1"/>
        <v>6.18454687886534</v>
      </c>
      <c r="L5" s="30">
        <f t="shared" si="2"/>
        <v>11.64192</v>
      </c>
      <c r="M5" s="13">
        <v>216</v>
      </c>
      <c r="N5" s="33">
        <v>0.5</v>
      </c>
      <c r="O5" s="13">
        <f t="shared" si="3"/>
        <v>108</v>
      </c>
      <c r="P5" s="34">
        <f t="shared" si="4"/>
        <v>1.5</v>
      </c>
      <c r="Q5" s="37">
        <f t="shared" si="5"/>
        <v>18.553640636596</v>
      </c>
      <c r="R5" s="34">
        <v>2.5</v>
      </c>
      <c r="S5" s="33">
        <f t="shared" si="6"/>
        <v>0.447213595499958</v>
      </c>
      <c r="T5" s="33">
        <f t="shared" si="7"/>
        <v>0.258198889747161</v>
      </c>
    </row>
    <row r="6" spans="2:20">
      <c r="B6" s="28">
        <v>72</v>
      </c>
      <c r="C6" s="28">
        <v>400000</v>
      </c>
      <c r="D6" s="28"/>
      <c r="E6" s="13">
        <v>23.13</v>
      </c>
      <c r="F6" s="13">
        <v>39.88</v>
      </c>
      <c r="G6" s="13">
        <v>14.48</v>
      </c>
      <c r="H6" s="13">
        <f t="shared" si="0"/>
        <v>121.27</v>
      </c>
      <c r="I6" s="13">
        <v>350</v>
      </c>
      <c r="J6" s="13">
        <f t="shared" si="1"/>
        <v>10.6020803637692</v>
      </c>
      <c r="L6" s="30">
        <f t="shared" si="2"/>
        <v>6.79112</v>
      </c>
      <c r="M6" s="13">
        <v>216</v>
      </c>
      <c r="N6" s="33">
        <v>0.5</v>
      </c>
      <c r="O6" s="13">
        <f t="shared" si="3"/>
        <v>108</v>
      </c>
      <c r="P6" s="34">
        <f t="shared" si="4"/>
        <v>1.5</v>
      </c>
      <c r="Q6" s="37">
        <f t="shared" si="5"/>
        <v>31.8062410913075</v>
      </c>
      <c r="R6" s="34">
        <v>2.5</v>
      </c>
      <c r="S6" s="33">
        <f t="shared" si="6"/>
        <v>0.447213595499958</v>
      </c>
      <c r="T6" s="33">
        <f t="shared" si="7"/>
        <v>0.258198889747161</v>
      </c>
    </row>
    <row r="7" spans="2:20">
      <c r="B7" s="28">
        <v>72</v>
      </c>
      <c r="C7" s="28">
        <v>400000</v>
      </c>
      <c r="D7" s="13" t="s">
        <v>25</v>
      </c>
      <c r="E7" s="13">
        <v>23.3</v>
      </c>
      <c r="F7" s="13">
        <v>40.4</v>
      </c>
      <c r="G7" s="13">
        <v>15.1</v>
      </c>
      <c r="H7" s="13">
        <f t="shared" si="0"/>
        <v>129.105</v>
      </c>
      <c r="I7" s="13">
        <v>350</v>
      </c>
      <c r="J7" s="13">
        <f t="shared" si="1"/>
        <v>9.95867151322014</v>
      </c>
      <c r="L7" s="30">
        <f t="shared" si="2"/>
        <v>7.22988</v>
      </c>
      <c r="M7" s="13">
        <v>216</v>
      </c>
      <c r="N7" s="33">
        <v>0.5</v>
      </c>
      <c r="O7" s="13">
        <f t="shared" si="3"/>
        <v>108</v>
      </c>
      <c r="P7" s="34">
        <f t="shared" si="4"/>
        <v>1.5</v>
      </c>
      <c r="Q7" s="37">
        <f t="shared" si="5"/>
        <v>29.8760145396604</v>
      </c>
      <c r="R7" s="34">
        <v>2.5</v>
      </c>
      <c r="S7" s="33">
        <f t="shared" si="6"/>
        <v>0.447213595499958</v>
      </c>
      <c r="T7" s="33">
        <f t="shared" si="7"/>
        <v>0.258198889747161</v>
      </c>
    </row>
    <row r="8" spans="2:20">
      <c r="B8" s="28">
        <v>72</v>
      </c>
      <c r="C8" s="28">
        <v>400000</v>
      </c>
      <c r="D8" s="13" t="s">
        <v>26</v>
      </c>
      <c r="E8" s="13">
        <v>13.5</v>
      </c>
      <c r="F8" s="13">
        <v>23.3</v>
      </c>
      <c r="G8" s="13">
        <v>8</v>
      </c>
      <c r="H8" s="13">
        <f t="shared" si="0"/>
        <v>39.2</v>
      </c>
      <c r="I8" s="13">
        <v>350</v>
      </c>
      <c r="J8" s="13">
        <f t="shared" si="1"/>
        <v>32.798833819242</v>
      </c>
      <c r="L8" s="30">
        <f t="shared" si="2"/>
        <v>2.1952</v>
      </c>
      <c r="M8" s="13">
        <v>216</v>
      </c>
      <c r="N8" s="33">
        <v>0.5</v>
      </c>
      <c r="O8" s="13">
        <f t="shared" si="3"/>
        <v>108</v>
      </c>
      <c r="P8" s="34">
        <f t="shared" si="4"/>
        <v>1.5</v>
      </c>
      <c r="Q8" s="37">
        <f t="shared" si="5"/>
        <v>98.396501457726</v>
      </c>
      <c r="R8" s="34">
        <v>2.5</v>
      </c>
      <c r="S8" s="33">
        <f t="shared" si="6"/>
        <v>0.447213595499958</v>
      </c>
      <c r="T8" s="33">
        <f t="shared" si="7"/>
        <v>0.258198889747161</v>
      </c>
    </row>
    <row r="9" spans="2:20">
      <c r="B9" s="28">
        <v>72</v>
      </c>
      <c r="C9" s="28">
        <v>400000</v>
      </c>
      <c r="E9" s="13">
        <v>23.3</v>
      </c>
      <c r="F9" s="13">
        <v>40.6</v>
      </c>
      <c r="G9" s="13">
        <v>14.9</v>
      </c>
      <c r="H9" s="13">
        <f t="shared" si="0"/>
        <v>128.885</v>
      </c>
      <c r="I9" s="13">
        <v>350</v>
      </c>
      <c r="J9" s="13">
        <f t="shared" si="1"/>
        <v>9.9756704481847</v>
      </c>
      <c r="L9" s="30">
        <f t="shared" si="2"/>
        <v>7.21756</v>
      </c>
      <c r="M9" s="13">
        <v>216</v>
      </c>
      <c r="N9" s="33">
        <v>0.5</v>
      </c>
      <c r="O9" s="13">
        <f t="shared" si="3"/>
        <v>108</v>
      </c>
      <c r="P9" s="34">
        <f t="shared" si="4"/>
        <v>1.5</v>
      </c>
      <c r="Q9" s="37">
        <f t="shared" si="5"/>
        <v>29.9270113445541</v>
      </c>
      <c r="R9" s="34">
        <v>2.5</v>
      </c>
      <c r="S9" s="33">
        <f t="shared" si="6"/>
        <v>0.447213595499958</v>
      </c>
      <c r="T9" s="33">
        <f t="shared" si="7"/>
        <v>0.258198889747161</v>
      </c>
    </row>
    <row r="10" spans="2:20">
      <c r="B10" s="28">
        <v>72</v>
      </c>
      <c r="C10" s="28">
        <v>400000</v>
      </c>
      <c r="D10" s="28" t="s">
        <v>24</v>
      </c>
      <c r="E10" s="13">
        <v>23</v>
      </c>
      <c r="F10" s="13">
        <v>40</v>
      </c>
      <c r="G10" s="13">
        <v>15</v>
      </c>
      <c r="H10" s="13">
        <f t="shared" si="0"/>
        <v>127.5</v>
      </c>
      <c r="I10" s="13">
        <v>350</v>
      </c>
      <c r="J10" s="13">
        <f t="shared" si="1"/>
        <v>10.0840336134454</v>
      </c>
      <c r="L10" s="30">
        <f t="shared" si="2"/>
        <v>7.14</v>
      </c>
      <c r="M10" s="13">
        <f>72*7</f>
        <v>504</v>
      </c>
      <c r="N10" s="33">
        <v>0.5</v>
      </c>
      <c r="O10" s="13">
        <f t="shared" si="3"/>
        <v>252</v>
      </c>
      <c r="P10" s="34">
        <f t="shared" si="4"/>
        <v>3.5</v>
      </c>
      <c r="Q10" s="37">
        <f t="shared" si="5"/>
        <v>70.5882352941176</v>
      </c>
      <c r="R10" s="34">
        <v>2.5</v>
      </c>
      <c r="S10" s="33">
        <f t="shared" si="6"/>
        <v>0.683130051063973</v>
      </c>
      <c r="T10" s="33">
        <f t="shared" si="7"/>
        <v>0.258198889747161</v>
      </c>
    </row>
    <row r="11" s="25" customFormat="1" spans="2:20">
      <c r="B11" s="29">
        <v>72</v>
      </c>
      <c r="C11" s="29">
        <v>200000</v>
      </c>
      <c r="D11" s="29" t="s">
        <v>24</v>
      </c>
      <c r="E11" s="25">
        <v>23</v>
      </c>
      <c r="F11" s="25">
        <v>40</v>
      </c>
      <c r="G11" s="25">
        <v>15</v>
      </c>
      <c r="H11" s="25">
        <f t="shared" si="0"/>
        <v>127.5</v>
      </c>
      <c r="I11" s="25">
        <v>350</v>
      </c>
      <c r="J11" s="25">
        <f t="shared" si="1"/>
        <v>20.1680672268908</v>
      </c>
      <c r="L11" s="31">
        <f t="shared" si="2"/>
        <v>3.57</v>
      </c>
      <c r="M11" s="25">
        <v>504</v>
      </c>
      <c r="N11" s="35">
        <v>0.5</v>
      </c>
      <c r="O11" s="25">
        <f t="shared" si="3"/>
        <v>252</v>
      </c>
      <c r="P11" s="36">
        <f t="shared" si="4"/>
        <v>3.5</v>
      </c>
      <c r="Q11" s="38">
        <f t="shared" si="5"/>
        <v>141.176470588235</v>
      </c>
      <c r="R11" s="36">
        <v>2.5</v>
      </c>
      <c r="S11" s="35">
        <f t="shared" si="6"/>
        <v>0.683130051063973</v>
      </c>
      <c r="T11" s="35">
        <f t="shared" si="7"/>
        <v>0.258198889747161</v>
      </c>
    </row>
    <row r="12" spans="10:10">
      <c r="J12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3" customWidth="1"/>
    <col min="2" max="2" width="15.5625" style="14" customWidth="1"/>
    <col min="3" max="3" width="15.5625" style="13" customWidth="1"/>
    <col min="4" max="4" width="5.5625" style="13" customWidth="1"/>
    <col min="5" max="5" width="15.5625" style="13" customWidth="1"/>
    <col min="6" max="6" width="5.5625" style="13" customWidth="1"/>
    <col min="7" max="7" width="15.5625" style="13" customWidth="1"/>
    <col min="8" max="8" width="5.5625" style="13" customWidth="1"/>
    <col min="9" max="9" width="15.5625" style="13" customWidth="1"/>
    <col min="10" max="10" width="14.359375" style="13" customWidth="1"/>
    <col min="11" max="12" width="18.5625" style="13" customWidth="1"/>
    <col min="13" max="13" width="5.2265625" style="13" customWidth="1"/>
    <col min="14" max="14" width="25.4375" style="13" customWidth="1"/>
    <col min="15" max="17" width="5.5625" style="13" customWidth="1"/>
    <col min="18" max="18" width="15.5625" style="13" customWidth="1"/>
    <col min="19" max="20" width="9" style="13"/>
    <col min="21" max="22" width="20.5625" style="13" customWidth="1"/>
    <col min="23" max="23" width="9" style="13"/>
    <col min="24" max="24" width="11.125" style="13"/>
    <col min="25" max="16384" width="9" style="13"/>
  </cols>
  <sheetData>
    <row r="3" spans="2:10">
      <c r="B3" s="3" t="s">
        <v>27</v>
      </c>
      <c r="C3" s="5">
        <v>400000</v>
      </c>
      <c r="D3" s="5" t="s">
        <v>28</v>
      </c>
      <c r="E3" s="5">
        <v>400000</v>
      </c>
      <c r="F3" s="5" t="s">
        <v>28</v>
      </c>
      <c r="I3" s="5"/>
      <c r="J3" s="20"/>
    </row>
    <row r="4" customHeight="1" spans="2:9">
      <c r="B4" s="3" t="s">
        <v>29</v>
      </c>
      <c r="C4" s="5">
        <v>100</v>
      </c>
      <c r="D4" s="5" t="s">
        <v>30</v>
      </c>
      <c r="E4" s="5">
        <v>500</v>
      </c>
      <c r="F4" s="5" t="s">
        <v>30</v>
      </c>
      <c r="I4" s="5"/>
    </row>
    <row r="5" customHeight="1" spans="2:9">
      <c r="B5" s="3" t="s">
        <v>31</v>
      </c>
      <c r="C5" s="5">
        <f>C4/2</f>
        <v>50</v>
      </c>
      <c r="D5" s="5" t="s">
        <v>30</v>
      </c>
      <c r="E5" s="5">
        <f>E4/2</f>
        <v>250</v>
      </c>
      <c r="F5" s="5" t="s">
        <v>30</v>
      </c>
      <c r="I5" s="5"/>
    </row>
    <row r="6" ht="18" spans="2:24">
      <c r="B6" s="3" t="s">
        <v>32</v>
      </c>
      <c r="C6" s="9">
        <f>((C5*SQRT(2))/(2*3.14*C3))*1000000</f>
        <v>28.1491553020122</v>
      </c>
      <c r="D6" s="5" t="s">
        <v>33</v>
      </c>
      <c r="E6" s="9">
        <f>((E5*SQRT(2))/(2*3.14*E3))*1000000</f>
        <v>140.745776510061</v>
      </c>
      <c r="F6" s="5" t="s">
        <v>33</v>
      </c>
      <c r="M6" s="21"/>
      <c r="N6" s="5" t="s">
        <v>34</v>
      </c>
      <c r="O6" s="22">
        <v>1.4</v>
      </c>
      <c r="P6" s="5"/>
      <c r="S6" s="5"/>
      <c r="T6" s="21"/>
      <c r="U6" s="21"/>
      <c r="V6" s="5"/>
      <c r="W6" s="5"/>
      <c r="X6" s="5"/>
    </row>
    <row r="7" ht="18" spans="2:24">
      <c r="B7" s="3" t="s">
        <v>35</v>
      </c>
      <c r="C7" s="10">
        <f>(1/(2*3.14*C3*C5*SQRT(2)))*1000000000</f>
        <v>5.62983106040245</v>
      </c>
      <c r="D7" s="5" t="s">
        <v>36</v>
      </c>
      <c r="E7" s="10">
        <f>(1/(2*3.14*E3*E5*SQRT(2)))*1000000000</f>
        <v>1.12596621208049</v>
      </c>
      <c r="F7" s="5" t="s">
        <v>36</v>
      </c>
      <c r="M7" s="19"/>
      <c r="N7" s="5" t="s">
        <v>37</v>
      </c>
      <c r="O7" s="22">
        <v>0.707</v>
      </c>
      <c r="P7" s="23"/>
      <c r="S7" s="5"/>
      <c r="T7" s="9"/>
      <c r="U7" s="9"/>
      <c r="V7" s="24"/>
      <c r="W7" s="24"/>
      <c r="X7" s="5"/>
    </row>
    <row r="8" ht="18" spans="2:24">
      <c r="B8" s="3" t="s">
        <v>38</v>
      </c>
      <c r="C8" s="15">
        <f>C7/2</f>
        <v>2.81491553020122</v>
      </c>
      <c r="D8" s="5" t="s">
        <v>36</v>
      </c>
      <c r="E8" s="15">
        <f>E7/2</f>
        <v>0.562983106040245</v>
      </c>
      <c r="F8" s="5" t="s">
        <v>36</v>
      </c>
      <c r="G8" s="5"/>
      <c r="H8" s="5"/>
      <c r="I8" s="5"/>
      <c r="J8" s="9"/>
      <c r="K8" s="9"/>
      <c r="L8" s="19"/>
      <c r="M8" s="19"/>
      <c r="N8" s="5" t="s">
        <v>39</v>
      </c>
      <c r="O8" s="22">
        <v>0.3</v>
      </c>
      <c r="P8" s="5"/>
      <c r="S8" s="5"/>
      <c r="T8" s="5"/>
      <c r="U8" s="5"/>
      <c r="V8" s="5"/>
      <c r="W8" s="5"/>
      <c r="X8" s="5"/>
    </row>
    <row r="9" ht="18" spans="2:24">
      <c r="B9" s="3" t="s">
        <v>40</v>
      </c>
      <c r="C9" s="5">
        <v>29</v>
      </c>
      <c r="D9" s="5" t="s">
        <v>33</v>
      </c>
      <c r="E9" s="5">
        <v>140.7</v>
      </c>
      <c r="F9" s="5" t="s">
        <v>33</v>
      </c>
      <c r="G9" s="18"/>
      <c r="J9" s="9"/>
      <c r="K9" s="9"/>
      <c r="L9" s="19"/>
      <c r="M9" s="19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18" spans="2:24">
      <c r="B10" s="3" t="s">
        <v>41</v>
      </c>
      <c r="C10" s="16">
        <v>2.7</v>
      </c>
      <c r="D10" s="5" t="s">
        <v>36</v>
      </c>
      <c r="E10" s="16">
        <v>0.56</v>
      </c>
      <c r="F10" s="5" t="s">
        <v>36</v>
      </c>
      <c r="G10" s="5"/>
      <c r="H10" s="5"/>
      <c r="I10" s="5"/>
      <c r="J10" s="9"/>
      <c r="K10" s="9"/>
      <c r="L10" s="19"/>
      <c r="M10" s="1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18" spans="2:25">
      <c r="B11" s="3" t="s">
        <v>42</v>
      </c>
      <c r="C11" s="16">
        <f>2*C10</f>
        <v>5.4</v>
      </c>
      <c r="D11" s="5" t="s">
        <v>36</v>
      </c>
      <c r="E11" s="16">
        <f>2*E10</f>
        <v>1.12</v>
      </c>
      <c r="F11" s="5" t="s">
        <v>36</v>
      </c>
      <c r="G11" s="19"/>
      <c r="H11" s="19"/>
      <c r="I11" s="19"/>
      <c r="J11" s="5"/>
      <c r="K11" s="9"/>
      <c r="L11" s="9"/>
      <c r="M11" s="9"/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" spans="2:25">
      <c r="B12" s="3" t="s">
        <v>43</v>
      </c>
      <c r="C12" s="9">
        <f>C5*SQRT((C11*POWER(10,-9))/(C9*POWER(10,-6)))</f>
        <v>0.682288239221013</v>
      </c>
      <c r="D12" s="5"/>
      <c r="E12" s="9">
        <f>E5*SQRT((E11*POWER(10,-9))/(E9*POWER(10,-6)))</f>
        <v>0.705345615858598</v>
      </c>
      <c r="F12" s="5"/>
      <c r="G12" s="1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" spans="2:25">
      <c r="B13" s="3" t="s">
        <v>44</v>
      </c>
      <c r="C13" s="9">
        <f>1/(2*3.14*SQRT((C9/POWER(10,6))*(C11/POWER(10,9))))</f>
        <v>402387.496591775</v>
      </c>
      <c r="D13" s="5" t="s">
        <v>28</v>
      </c>
      <c r="E13" s="9">
        <f>1/(2*3.14*SQRT((E9/POWER(10,6))*(E11/POWER(10,9))))</f>
        <v>401129.217390013</v>
      </c>
      <c r="F13" s="5" t="s">
        <v>28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" spans="2:25">
      <c r="B14" s="3" t="s">
        <v>45</v>
      </c>
      <c r="C14" s="9">
        <f>20*LOG10(C12)</f>
        <v>-3.3206422940395</v>
      </c>
      <c r="D14" s="5" t="s">
        <v>46</v>
      </c>
      <c r="E14" s="9">
        <f>20*LOG10(E12)</f>
        <v>-3.03196057420489</v>
      </c>
      <c r="F14" s="5" t="s">
        <v>46</v>
      </c>
      <c r="G14" s="5"/>
      <c r="H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2:2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2:25">
      <c r="B16" s="1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2:25">
      <c r="B17" s="1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2:25">
      <c r="B18" s="1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2:25">
      <c r="B19" s="1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2:25">
      <c r="B20" s="1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2:25">
      <c r="B21" s="1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2:25">
      <c r="B22" s="1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2:25"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2:25">
      <c r="B24" s="1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2:25">
      <c r="B25" s="1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2:25">
      <c r="B26" s="1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2:25">
      <c r="B27" s="1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2:25">
      <c r="B28" s="1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2:25">
      <c r="B29" s="1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2:25">
      <c r="B30" s="1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2:25">
      <c r="B31" s="1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2:25">
      <c r="B32" s="1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2:25">
      <c r="B33" s="1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2:25">
      <c r="B34" s="1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tabSelected="1" zoomScale="107" zoomScaleNormal="107" workbookViewId="0">
      <selection activeCell="E14" sqref="E14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3" t="s">
        <v>27</v>
      </c>
      <c r="C2" s="3" t="s">
        <v>29</v>
      </c>
      <c r="D2" s="3" t="s">
        <v>31</v>
      </c>
      <c r="E2" s="3" t="s">
        <v>32</v>
      </c>
      <c r="F2" s="3" t="s">
        <v>35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</row>
    <row r="3" s="1" customFormat="1" spans="2:13">
      <c r="B3" s="4">
        <v>400000</v>
      </c>
      <c r="C3" s="4">
        <v>100</v>
      </c>
      <c r="D3" s="4">
        <f>C3/2</f>
        <v>50</v>
      </c>
      <c r="E3" s="7">
        <f>((D3*SQRT(2))/(2*3.14*B3))*1000000</f>
        <v>28.1491553020122</v>
      </c>
      <c r="F3" s="8">
        <f>(1/(2*3.14*B3*D3*SQRT(2)))*1000000000</f>
        <v>5.62983106040245</v>
      </c>
      <c r="G3" s="7">
        <f>F3/2</f>
        <v>2.81491553020122</v>
      </c>
      <c r="H3" s="7">
        <v>28.14</v>
      </c>
      <c r="I3" s="7">
        <v>2.7</v>
      </c>
      <c r="J3" s="7">
        <f>2*I3</f>
        <v>5.4</v>
      </c>
      <c r="K3" s="7">
        <f>D3*SQRT((J3*POWER(10,-9))/(H3*POWER(10,-6)))</f>
        <v>0.692635644809415</v>
      </c>
      <c r="L3" s="7">
        <f>1/(2*3.14*SQRT((H3/POWER(10,6))*(J3/POWER(10,9))))</f>
        <v>408490.000477362</v>
      </c>
      <c r="M3" s="7">
        <f>20*LOG10(K3)</f>
        <v>-3.18990324603721</v>
      </c>
    </row>
    <row r="4" spans="2:13">
      <c r="B4" s="5">
        <v>200000</v>
      </c>
      <c r="C4" s="5">
        <v>100</v>
      </c>
      <c r="D4" s="5">
        <f>C4/2</f>
        <v>50</v>
      </c>
      <c r="E4" s="9">
        <f>((D4*SQRT(2))/(2*3.14*B4))*1000000</f>
        <v>56.2983106040245</v>
      </c>
      <c r="F4" s="10">
        <f>(1/(2*3.14*B4*D4*SQRT(2)))*1000000000</f>
        <v>11.2596621208049</v>
      </c>
      <c r="G4" s="9">
        <f>F4/2</f>
        <v>5.62983106040245</v>
      </c>
      <c r="H4" s="9">
        <v>56.2</v>
      </c>
      <c r="I4" s="9">
        <v>5.6</v>
      </c>
      <c r="J4" s="9">
        <f>2*I4</f>
        <v>11.2</v>
      </c>
      <c r="K4" s="9">
        <f>D4*SQRT((J4*POWER(10,-9))/(H4*POWER(10,-6)))</f>
        <v>0.705847462678301</v>
      </c>
      <c r="L4" s="9">
        <f>1/(2*3.14*SQRT((H4/POWER(10,6))*(J4/POWER(10,9))))</f>
        <v>200707.308541373</v>
      </c>
      <c r="M4" s="9">
        <f>20*LOG10(K4)</f>
        <v>-3.02578284226842</v>
      </c>
    </row>
    <row r="5" spans="2:13">
      <c r="B5" s="5">
        <v>100000</v>
      </c>
      <c r="C5" s="5">
        <v>100</v>
      </c>
      <c r="D5" s="5">
        <f>C5/2</f>
        <v>50</v>
      </c>
      <c r="E5" s="9">
        <f>((D5*SQRT(2))/(2*3.14*B5))*1000000</f>
        <v>112.596621208049</v>
      </c>
      <c r="F5" s="10">
        <f>(1/(2*3.14*B5*D5*SQRT(2)))*1000000000</f>
        <v>22.5193242416098</v>
      </c>
      <c r="G5" s="9">
        <f>F5/2</f>
        <v>11.2596621208049</v>
      </c>
      <c r="H5" s="9">
        <v>112</v>
      </c>
      <c r="I5" s="9">
        <v>10</v>
      </c>
      <c r="J5" s="9">
        <f>2*I5</f>
        <v>20</v>
      </c>
      <c r="K5" s="9">
        <f>D5*SQRT((J5*POWER(10,-9))/(H5*POWER(10,-6)))</f>
        <v>0.668153104781061</v>
      </c>
      <c r="L5" s="9">
        <f>1/(2*3.14*SQRT((H5/POWER(10,6))*(J5/POWER(10,9))))</f>
        <v>106393.8064938</v>
      </c>
      <c r="M5" s="9">
        <f>20*LOG10(K5)</f>
        <v>-3.50248018334163</v>
      </c>
    </row>
    <row r="6" spans="2:13">
      <c r="B6" s="5">
        <v>25000</v>
      </c>
      <c r="C6" s="5">
        <v>100</v>
      </c>
      <c r="D6" s="5">
        <f t="shared" ref="D6:D12" si="0">C6/2</f>
        <v>50</v>
      </c>
      <c r="E6" s="9">
        <f t="shared" ref="E6:E12" si="1">((D6*SQRT(2))/(2*3.14*B6))*1000000</f>
        <v>450.386484832196</v>
      </c>
      <c r="F6" s="10">
        <f t="shared" ref="F6:F12" si="2">(1/(2*3.14*B6*D6*SQRT(2)))*1000000000</f>
        <v>90.0772969664392</v>
      </c>
      <c r="G6" s="9">
        <f t="shared" ref="G6:G12" si="3">F6/2</f>
        <v>45.0386484832196</v>
      </c>
      <c r="H6" s="9">
        <v>450.4</v>
      </c>
      <c r="I6" s="9">
        <v>47</v>
      </c>
      <c r="J6" s="9">
        <f t="shared" ref="J6:J12" si="4">2*I6</f>
        <v>94</v>
      </c>
      <c r="K6" s="9">
        <f t="shared" ref="K6:K12" si="5">D6*SQRT((J6*POWER(10,-9))/(H6*POWER(10,-6)))</f>
        <v>0.722328482717481</v>
      </c>
      <c r="L6" s="9">
        <f t="shared" ref="L6:L12" si="6">1/(2*3.14*SQRT((H6/POWER(10,6))*(J6/POWER(10,9))))</f>
        <v>24472.438091797</v>
      </c>
      <c r="M6" s="9">
        <f t="shared" ref="M6:M12" si="7">20*LOG10(K6)</f>
        <v>-2.82530519571553</v>
      </c>
    </row>
    <row r="7" spans="2:13">
      <c r="B7" s="5">
        <v>20000</v>
      </c>
      <c r="C7" s="5">
        <v>100</v>
      </c>
      <c r="D7" s="5">
        <f t="shared" si="0"/>
        <v>50</v>
      </c>
      <c r="E7" s="9">
        <f t="shared" si="1"/>
        <v>562.983106040245</v>
      </c>
      <c r="F7" s="10">
        <f t="shared" si="2"/>
        <v>112.596621208049</v>
      </c>
      <c r="G7" s="9">
        <f t="shared" si="3"/>
        <v>56.2983106040245</v>
      </c>
      <c r="H7" s="9">
        <v>563</v>
      </c>
      <c r="I7" s="9">
        <v>56</v>
      </c>
      <c r="J7" s="9">
        <f t="shared" si="4"/>
        <v>112</v>
      </c>
      <c r="K7" s="9">
        <f t="shared" si="5"/>
        <v>0.70522032131709</v>
      </c>
      <c r="L7" s="9">
        <f t="shared" si="6"/>
        <v>20052.8981266233</v>
      </c>
      <c r="M7" s="9">
        <f t="shared" si="7"/>
        <v>-3.03350363509127</v>
      </c>
    </row>
    <row r="8" s="2" customFormat="1" spans="2:13">
      <c r="B8" s="6">
        <v>400000</v>
      </c>
      <c r="C8" s="6">
        <v>500</v>
      </c>
      <c r="D8" s="6">
        <f t="shared" si="0"/>
        <v>250</v>
      </c>
      <c r="E8" s="11">
        <f t="shared" si="1"/>
        <v>140.745776510061</v>
      </c>
      <c r="F8" s="12">
        <f t="shared" si="2"/>
        <v>1.12596621208049</v>
      </c>
      <c r="G8" s="11">
        <f t="shared" si="3"/>
        <v>0.562983106040245</v>
      </c>
      <c r="H8" s="11">
        <v>140.7</v>
      </c>
      <c r="I8" s="11">
        <v>0.56</v>
      </c>
      <c r="J8" s="11">
        <f t="shared" si="4"/>
        <v>1.12</v>
      </c>
      <c r="K8" s="11">
        <f t="shared" si="5"/>
        <v>0.705345615858598</v>
      </c>
      <c r="L8" s="11">
        <f t="shared" si="6"/>
        <v>401129.217390013</v>
      </c>
      <c r="M8" s="11">
        <f t="shared" si="7"/>
        <v>-3.03196057420489</v>
      </c>
    </row>
    <row r="9" spans="2:13">
      <c r="B9" s="5">
        <v>200000</v>
      </c>
      <c r="C9" s="5">
        <v>500</v>
      </c>
      <c r="D9" s="5">
        <f t="shared" si="0"/>
        <v>250</v>
      </c>
      <c r="E9" s="9">
        <f t="shared" si="1"/>
        <v>281.491553020122</v>
      </c>
      <c r="F9" s="10">
        <f t="shared" si="2"/>
        <v>2.25193242416098</v>
      </c>
      <c r="G9" s="9">
        <f t="shared" si="3"/>
        <v>1.12596621208049</v>
      </c>
      <c r="H9" s="9">
        <v>281.5</v>
      </c>
      <c r="I9" s="9">
        <v>1</v>
      </c>
      <c r="J9" s="9">
        <f t="shared" si="4"/>
        <v>2</v>
      </c>
      <c r="K9" s="9">
        <f t="shared" si="5"/>
        <v>0.666370567755029</v>
      </c>
      <c r="L9" s="9">
        <f t="shared" si="6"/>
        <v>212219.926036633</v>
      </c>
      <c r="M9" s="9">
        <f t="shared" si="7"/>
        <v>-3.52568386179308</v>
      </c>
    </row>
    <row r="10" spans="2:13">
      <c r="B10" s="5">
        <v>25000</v>
      </c>
      <c r="C10" s="5">
        <v>500</v>
      </c>
      <c r="D10" s="5">
        <f t="shared" si="0"/>
        <v>250</v>
      </c>
      <c r="E10" s="9">
        <f t="shared" si="1"/>
        <v>2251.93242416098</v>
      </c>
      <c r="F10" s="10">
        <f t="shared" si="2"/>
        <v>18.0154593932878</v>
      </c>
      <c r="G10" s="9">
        <f t="shared" si="3"/>
        <v>9.00772969664392</v>
      </c>
      <c r="H10" s="9">
        <v>2252</v>
      </c>
      <c r="I10" s="9">
        <v>8.6</v>
      </c>
      <c r="J10" s="9">
        <f t="shared" si="4"/>
        <v>17.2</v>
      </c>
      <c r="K10" s="9">
        <f t="shared" si="5"/>
        <v>0.690907709891793</v>
      </c>
      <c r="L10" s="9">
        <f t="shared" si="6"/>
        <v>25585.3840131756</v>
      </c>
      <c r="M10" s="9">
        <f t="shared" si="7"/>
        <v>-3.21159921927684</v>
      </c>
    </row>
    <row r="11" spans="2:13">
      <c r="B11" s="5">
        <v>20000</v>
      </c>
      <c r="C11" s="5">
        <v>500</v>
      </c>
      <c r="D11" s="5">
        <f t="shared" si="0"/>
        <v>250</v>
      </c>
      <c r="E11" s="9">
        <f t="shared" si="1"/>
        <v>2814.91553020122</v>
      </c>
      <c r="F11" s="10">
        <f t="shared" si="2"/>
        <v>22.5193242416098</v>
      </c>
      <c r="G11" s="9">
        <f t="shared" si="3"/>
        <v>11.2596621208049</v>
      </c>
      <c r="H11" s="9">
        <v>2815</v>
      </c>
      <c r="I11" s="9">
        <v>10</v>
      </c>
      <c r="J11" s="9">
        <f t="shared" si="4"/>
        <v>20</v>
      </c>
      <c r="K11" s="9">
        <f t="shared" si="5"/>
        <v>0.666370567755029</v>
      </c>
      <c r="L11" s="9">
        <f t="shared" si="6"/>
        <v>21221.9926036634</v>
      </c>
      <c r="M11" s="9">
        <f t="shared" si="7"/>
        <v>-3.52568386179308</v>
      </c>
    </row>
    <row r="12" s="2" customFormat="1" spans="2:13">
      <c r="B12" s="6">
        <v>100000</v>
      </c>
      <c r="C12" s="6">
        <v>500</v>
      </c>
      <c r="D12" s="6">
        <f t="shared" si="0"/>
        <v>250</v>
      </c>
      <c r="E12" s="11">
        <f t="shared" si="1"/>
        <v>562.983106040245</v>
      </c>
      <c r="F12" s="12">
        <f t="shared" si="2"/>
        <v>4.50386484832196</v>
      </c>
      <c r="G12" s="11">
        <f t="shared" si="3"/>
        <v>2.25193242416098</v>
      </c>
      <c r="H12" s="11">
        <v>560</v>
      </c>
      <c r="I12" s="11">
        <v>2.2</v>
      </c>
      <c r="J12" s="11">
        <f t="shared" si="4"/>
        <v>4.4</v>
      </c>
      <c r="K12" s="11">
        <f t="shared" si="5"/>
        <v>0.700764888226735</v>
      </c>
      <c r="L12" s="11">
        <f t="shared" si="6"/>
        <v>101442.514219273</v>
      </c>
      <c r="M12" s="11">
        <f t="shared" si="7"/>
        <v>-3.08855333175938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2025-07-09T01:16:00Z</dcterms:created>
  <dcterms:modified xsi:type="dcterms:W3CDTF">2025-08-25T10:27:30Z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