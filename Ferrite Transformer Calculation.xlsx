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4080" activeTab="4"/>
  </bookViews>
  <sheets>
    <sheet name="ETD" sheetId="1" r:id="rId1"/>
    <sheet name="Toroid" sheetId="2" r:id="rId2"/>
    <sheet name="Sheet3" sheetId="3" r:id="rId3"/>
    <sheet name="Sheet1" sheetId="4" r:id="rId4"/>
    <sheet name="Sheet2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<sst xmlns="http://schemas.openxmlformats.org/spreadsheetml/2006/main" count="96" uniqueCount="66">
  <si>
    <t>#</t>
  </si>
  <si>
    <r>
      <rPr>
        <sz val="10"/>
        <color theme="1"/>
        <rFont val="Arial"/>
        <charset val="134"/>
      </rPr>
      <t>V</t>
    </r>
    <r>
      <rPr>
        <vertAlign val="subscript"/>
        <sz val="10"/>
        <color theme="1"/>
        <rFont val="Arial"/>
        <charset val="134"/>
      </rPr>
      <t>in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V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</si>
  <si>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ƒ [ </t>
    </r>
    <r>
      <rPr>
        <b/>
        <sz val="10"/>
        <color theme="1"/>
        <rFont val="Arial Bold"/>
        <charset val="134"/>
      </rPr>
      <t>Hz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</si>
  <si>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</si>
  <si>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¼ × π × d</t>
    </r>
    <r>
      <rPr>
        <vertAlign val="superscript"/>
        <sz val="10"/>
        <color theme="1"/>
        <rFont val="Arial"/>
        <charset val="134"/>
      </rPr>
      <t>2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</si>
  <si>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Gauss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</si>
  <si>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( 4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</si>
  <si>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Check</t>
    </r>
  </si>
  <si>
    <r>
      <rPr>
        <sz val="10"/>
        <color theme="1"/>
        <rFont val="Calibri"/>
        <charset val="134"/>
        <scheme val="minor"/>
      </rPr>
      <t xml:space="preserve">Volt / Turn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</si>
  <si>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Vout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</si>
  <si>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Iout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</si>
  <si>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P [ </t>
    </r>
    <r>
      <rPr>
        <b/>
        <sz val="10"/>
        <color theme="1"/>
        <rFont val="Calibri"/>
        <charset val="134"/>
        <scheme val="minor"/>
      </rPr>
      <t>W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</si>
  <si>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Iin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</si>
  <si>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s</t>
    </r>
  </si>
  <si>
    <r>
      <rPr>
        <sz val="10"/>
        <color theme="1"/>
        <rFont val="Calibri"/>
        <charset val="134"/>
        <scheme val="minor"/>
      </rPr>
      <t xml:space="preserve">Current Density [ </t>
    </r>
    <r>
      <rPr>
        <b/>
        <sz val="10"/>
        <color theme="1"/>
        <rFont val="Calibri"/>
        <charset val="134"/>
        <scheme val="minor"/>
      </rPr>
      <t>A/mm</t>
    </r>
    <r>
      <rPr>
        <b/>
        <vertAlign val="superscript"/>
        <sz val="10"/>
        <color theme="1"/>
        <rFont val="Calibri"/>
        <charset val="134"/>
        <scheme val="minor"/>
      </rPr>
      <t>2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</si>
  <si>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</si>
  <si>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s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</si>
  <si>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t>p</t>
  </si>
  <si>
    <t>s</t>
  </si>
  <si>
    <r>
      <rPr>
        <sz val="10"/>
        <color theme="1"/>
        <rFont val="Arial"/>
        <charset val="134"/>
      </rPr>
      <t xml:space="preserve">ID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</si>
  <si>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OD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</si>
  <si>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H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</si>
  <si>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(( OD – ID ) × H) / 2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</si>
  <si>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D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( 2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</si>
  <si>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t>AS157125A</t>
  </si>
  <si>
    <t>NPS157060</t>
  </si>
  <si>
    <t>CS229090</t>
  </si>
  <si>
    <t>f</t>
  </si>
  <si>
    <t>Hz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</si>
  <si>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BTL</t>
    </r>
  </si>
  <si>
    <t>Ω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</si>
  <si>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>/2</t>
    </r>
  </si>
  <si>
    <t>Calculated</t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</si>
  <si>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 / 2πf</t>
    </r>
  </si>
  <si>
    <t>µH</t>
  </si>
  <si>
    <t>Under-damped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</si>
  <si>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1/(2πf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√2)</t>
    </r>
  </si>
  <si>
    <t>nF</t>
  </si>
  <si>
    <t>Critically-damped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</si>
  <si>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/2</t>
    </r>
  </si>
  <si>
    <t>Over-damped</t>
  </si>
  <si>
    <t>Actual</t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</si>
  <si>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</si>
  <si>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</si>
  <si>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2 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</si>
  <si>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Q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/√(C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/L)</t>
    </r>
  </si>
  <si>
    <r>
      <rPr>
        <sz val="10"/>
        <color theme="1"/>
        <rFont val="Calibri"/>
        <charset val="134"/>
        <scheme val="minor"/>
      </rPr>
      <t>f₀ = 1/(2π√LC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)</t>
    </r>
  </si>
  <si>
    <r>
      <rPr>
        <sz val="10"/>
        <color theme="1"/>
        <rFont val="Calibri"/>
        <charset val="134"/>
        <scheme val="minor"/>
      </rPr>
      <t>⍵</t>
    </r>
    <r>
      <rPr>
        <vertAlign val="subscript"/>
        <sz val="10"/>
        <color theme="1"/>
        <rFont val="Calibri"/>
        <charset val="134"/>
        <scheme val="minor"/>
      </rPr>
      <t>0</t>
    </r>
    <r>
      <rPr>
        <sz val="10"/>
        <color theme="1"/>
        <rFont val="Calibri"/>
        <charset val="134"/>
        <scheme val="minor"/>
      </rPr>
      <t xml:space="preserve"> = 20 log</t>
    </r>
    <r>
      <rPr>
        <vertAlign val="sub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>(Q)</t>
    </r>
  </si>
  <si>
    <t>dB</t>
  </si>
  <si>
    <t>f [ kHz ]</t>
  </si>
  <si>
    <t>Gain [ dB ]</t>
  </si>
  <si>
    <t>Passband</t>
  </si>
  <si>
    <t>Slight rolloff</t>
  </si>
  <si>
    <t>Transition</t>
  </si>
  <si>
    <t>Near cutoff</t>
  </si>
  <si>
    <t>Cutoff frequency</t>
  </si>
  <si>
    <t>Past cutoff</t>
  </si>
  <si>
    <t>Rolloff region</t>
  </si>
  <si>
    <t>Operating frequency</t>
  </si>
  <si>
    <t>Strong attenuation</t>
  </si>
  <si>
    <t>High attenuation</t>
  </si>
  <si>
    <t>Very high attenuation</t>
  </si>
  <si>
    <t>S</t>
  </si>
  <si>
    <t>RBTL</t>
  </si>
  <si>
    <t>LBTL</t>
  </si>
  <si>
    <t>CBTL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</si>
</sst>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0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0000_ "/>
    <numFmt numFmtId="179" formatCode="_ * #,##0_ ;_ * \-#,##0_ ;_ * &quot;-&quot;??_ ;_ @_ "/>
    <numFmt numFmtId="180" formatCode="_ * #,##0.0000_ ;_ * \-#,##0.0000_ ;_ * &quot;-&quot;??.0000_ ;_ @_ "/>
    <numFmt numFmtId="181" formatCode="0.0000_ "/>
    <numFmt numFmtId="182" formatCode="_ * #,##0.0000000_ ;_ * \-#,##0.0000000_ ;_ * &quot;-&quot;??.0000000_ ;_ @_ "/>
    <numFmt numFmtId="183" formatCode="_ * #,##0.0_ ;_ * \-#,##0.0_ ;_ * &quot;-&quot;??.0_ ;_ @_ "/>
    <numFmt numFmtId="184" formatCode="_ * #,##0.000000000000_ ;_ * \-#,##0.000000000000_ ;_ * &quot;-&quot;??.000000000000_ ;_ @_ "/>
    <numFmt numFmtId="185" formatCode="0.0000000000E+00"/>
    <numFmt numFmtId="186" formatCode="_ * #,##0.00000000000000_ ;_ * \-#,##0.00000000000000_ ;_ * &quot;-&quot;??.00000000000000_ ;_ @_ "/>
    <numFmt numFmtId="187" formatCode="_ * #,##0.000_ ;_ * \-#,##0.000_ ;_ * &quot;-&quot;??.000_ ;_ @_ "/>
    <numFmt numFmtId="188" formatCode="_ * #,##0.00000000_ ;_ * \-#,##0.00000000_ ;_ * &quot;-&quot;??.00000000_ ;_ @_ "/>
    <numFmt numFmtId="189" formatCode="_ * #,##0.00_ ;_ * \-#,##0.00_ ;_ * &quot;-&quot;??.00_ ;_ @_ "/>
    <numFmt numFmtId="190" formatCode="0.00_ "/>
    <numFmt numFmtId="191" formatCode="_(* #,##0.00_);_(* \(#,##0.00\);_(* &quot;-&quot;_);_(@_)"/>
    <numFmt numFmtId="192" formatCode="_(* #,##0.0000_);_(* \(#,##0.0000\);_(* &quot;-&quot;_);_(@_)"/>
  </numFmts>
  <fonts count="31">
    <font>
      <sz val="11"/>
      <color theme="1"/>
      <name val="Calibri"/>
      <charset val="134"/>
      <scheme val="minor"/>
    </font>
    <font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vertAlign val="subscript"/>
      <sz val="10"/>
      <color theme="1"/>
      <name val="Calibri"/>
      <charset val="134"/>
      <scheme val="minor"/>
    </font>
    <font>
      <vertAlign val="superscript"/>
      <sz val="10"/>
      <color theme="1"/>
      <name val="Calibri"/>
      <charset val="134"/>
      <scheme val="minor"/>
    </font>
    <font>
      <vertAlign val="subscript"/>
      <sz val="10"/>
      <color theme="1"/>
      <name val="Arial"/>
      <charset val="134"/>
    </font>
    <font>
      <b/>
      <sz val="10"/>
      <color theme="1"/>
      <name val="Arial Bold"/>
      <charset val="134"/>
    </font>
    <font>
      <vertAlign val="superscript"/>
      <sz val="10"/>
      <color theme="1"/>
      <name val="Arial"/>
      <charset val="134"/>
    </font>
    <font>
      <b/>
      <vertAlign val="superscript"/>
      <sz val="10"/>
      <color theme="1"/>
      <name val="Arial Bold"/>
      <charset val="134"/>
    </font>
    <font>
      <b/>
      <vertAlign val="superscript"/>
      <sz val="10"/>
      <color theme="1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178" fontId="0" fillId="0" borderId="0" xfId="0" applyNumberFormat="1">
      <alignment vertical="center"/>
    </xf>
    <xf numFmtId="0" fontId="0" fillId="0" borderId="0" xfId="0" applyFont="1">
      <alignment vertical="center"/>
    </xf>
    <xf numFmtId="0" fontId="1" fillId="0" borderId="0" xfId="0" applyFont="1" applyFill="1" applyBorder="1" applyAlignment="1">
      <alignment vertical="center" wrapText="1"/>
    </xf>
    <xf numFmtId="10" fontId="1" fillId="0" borderId="0" xfId="0" applyNumberFormat="1" applyFont="1" applyFill="1" applyBorder="1" applyAlignment="1">
      <alignment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1" applyNumberFormat="1" applyFont="1" applyAlignment="1">
      <alignment horizontal="left" vertical="center"/>
    </xf>
    <xf numFmtId="179" fontId="2" fillId="0" borderId="0" xfId="1" applyNumberFormat="1" applyFont="1">
      <alignment vertical="center"/>
    </xf>
    <xf numFmtId="0" fontId="3" fillId="0" borderId="0" xfId="0" applyFont="1">
      <alignment vertical="center"/>
    </xf>
    <xf numFmtId="180" fontId="2" fillId="0" borderId="0" xfId="1" applyNumberFormat="1" applyFont="1">
      <alignment vertical="center"/>
    </xf>
    <xf numFmtId="181" fontId="2" fillId="0" borderId="0" xfId="1" applyNumberFormat="1" applyFont="1">
      <alignment vertical="center"/>
    </xf>
    <xf numFmtId="182" fontId="2" fillId="0" borderId="0" xfId="1" applyNumberFormat="1" applyFont="1">
      <alignment vertical="center"/>
    </xf>
    <xf numFmtId="179" fontId="2" fillId="0" borderId="0" xfId="1" applyNumberFormat="1" applyFont="1" applyAlignment="1">
      <alignment horizontal="left" vertical="center"/>
    </xf>
    <xf numFmtId="179" fontId="2" fillId="0" borderId="0" xfId="1" applyNumberFormat="1" applyFont="1" applyFill="1">
      <alignment vertical="center"/>
    </xf>
    <xf numFmtId="183" fontId="2" fillId="0" borderId="0" xfId="1" applyNumberFormat="1" applyFont="1">
      <alignment vertical="center"/>
    </xf>
    <xf numFmtId="0" fontId="2" fillId="0" borderId="0" xfId="1" applyNumberFormat="1" applyFont="1">
      <alignment vertical="center"/>
    </xf>
    <xf numFmtId="184" fontId="2" fillId="0" borderId="0" xfId="1" applyNumberFormat="1" applyFont="1">
      <alignment vertical="center"/>
    </xf>
    <xf numFmtId="0" fontId="3" fillId="0" borderId="0" xfId="1" applyNumberFormat="1" applyFont="1" applyAlignment="1">
      <alignment horizontal="center" vertical="center"/>
    </xf>
    <xf numFmtId="185" fontId="2" fillId="0" borderId="0" xfId="0" applyNumberFormat="1" applyFont="1">
      <alignment vertical="center"/>
    </xf>
    <xf numFmtId="183" fontId="2" fillId="0" borderId="0" xfId="0" applyNumberFormat="1" applyFont="1">
      <alignment vertical="center"/>
    </xf>
    <xf numFmtId="186" fontId="2" fillId="0" borderId="0" xfId="1" applyNumberFormat="1" applyFont="1">
      <alignment vertical="center"/>
    </xf>
    <xf numFmtId="180" fontId="2" fillId="0" borderId="0" xfId="1" applyNumberFormat="1" applyFont="1" applyFill="1">
      <alignment vertical="center"/>
    </xf>
    <xf numFmtId="0" fontId="2" fillId="0" borderId="0" xfId="1" applyNumberFormat="1" applyFont="1" applyFill="1">
      <alignment vertical="center"/>
    </xf>
    <xf numFmtId="187" fontId="2" fillId="0" borderId="0" xfId="1" applyNumberFormat="1" applyFont="1">
      <alignment vertical="center"/>
    </xf>
    <xf numFmtId="188" fontId="2" fillId="0" borderId="0" xfId="1" applyNumberFormat="1" applyFont="1">
      <alignment vertical="center"/>
    </xf>
    <xf numFmtId="189" fontId="2" fillId="0" borderId="0" xfId="1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/>
    </xf>
    <xf numFmtId="41" fontId="2" fillId="0" borderId="0" xfId="1" applyNumberFormat="1" applyFont="1">
      <alignment vertical="center"/>
    </xf>
    <xf numFmtId="41" fontId="2" fillId="0" borderId="0" xfId="0" applyNumberFormat="1" applyFont="1">
      <alignment vertical="center"/>
    </xf>
    <xf numFmtId="176" fontId="2" fillId="0" borderId="0" xfId="1" applyFont="1">
      <alignment vertical="center"/>
    </xf>
    <xf numFmtId="176" fontId="2" fillId="0" borderId="0" xfId="0" applyNumberFormat="1" applyFont="1">
      <alignment vertical="center"/>
    </xf>
    <xf numFmtId="190" fontId="2" fillId="0" borderId="0" xfId="0" applyNumberFormat="1" applyFont="1">
      <alignment vertical="center"/>
    </xf>
    <xf numFmtId="191" fontId="2" fillId="0" borderId="0" xfId="0" applyNumberFormat="1" applyFont="1">
      <alignment vertical="center"/>
    </xf>
    <xf numFmtId="0" fontId="2" fillId="0" borderId="0" xfId="0" applyFont="1" applyAlignment="1">
      <alignment vertical="center"/>
    </xf>
    <xf numFmtId="41" fontId="2" fillId="0" borderId="0" xfId="0" applyNumberFormat="1" applyFont="1" applyAlignment="1">
      <alignment horizontal="center" vertical="center"/>
    </xf>
    <xf numFmtId="192" fontId="2" fillId="0" borderId="0" xfId="1" applyNumberFormat="1" applyFont="1">
      <alignment vertical="center"/>
    </xf>
    <xf numFmtId="41" fontId="2" fillId="0" borderId="0" xfId="1" applyNumberFormat="1" applyFont="1" applyAlignment="1">
      <alignment horizontal="center" vertical="center"/>
    </xf>
    <xf numFmtId="192" fontId="2" fillId="0" borderId="0" xfId="1" applyNumberFormat="1" applyFont="1" applyAlignment="1">
      <alignment horizontal="center" vertical="center"/>
    </xf>
    <xf numFmtId="181" fontId="2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Sheet1!$C$1</c:f>
              <c:strCache>
                <c:ptCount val="1"/>
                <c:pt idx="0">
                  <c:v>Gain [ dB 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Sheet1!$B$2:$B$18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283</c:v>
                </c:pt>
                <c:pt idx="7">
                  <c:v>300</c:v>
                </c:pt>
                <c:pt idx="8">
                  <c:v>350</c:v>
                </c:pt>
                <c:pt idx="9">
                  <c:v>400</c:v>
                </c:pt>
                <c:pt idx="10">
                  <c:v>450</c:v>
                </c:pt>
                <c:pt idx="11">
                  <c:v>500</c:v>
                </c:pt>
                <c:pt idx="12">
                  <c:v>600</c:v>
                </c:pt>
                <c:pt idx="13">
                  <c:v>700</c:v>
                </c:pt>
                <c:pt idx="14">
                  <c:v>800</c:v>
                </c:pt>
                <c:pt idx="15">
                  <c:v>900</c:v>
                </c:pt>
                <c:pt idx="16">
                  <c:v>1000</c:v>
                </c:pt>
              </c:numCache>
            </c:numRef>
          </c:xVal>
          <c:yVal>
            <c:numRef>
              <c:f>Sheet1!$C$2:$C$18</c:f>
              <c:numCache>
                <c:formatCode>General</c:formatCode>
                <c:ptCount val="17"/>
                <c:pt idx="0">
                  <c:v>-0.1</c:v>
                </c:pt>
                <c:pt idx="1">
                  <c:v>-0.2</c:v>
                </c:pt>
                <c:pt idx="2">
                  <c:v>-0.8</c:v>
                </c:pt>
                <c:pt idx="3">
                  <c:v>-1.8</c:v>
                </c:pt>
                <c:pt idx="4">
                  <c:v>-3.2</c:v>
                </c:pt>
                <c:pt idx="5">
                  <c:v>-2.8</c:v>
                </c:pt>
                <c:pt idx="6">
                  <c:v>-3</c:v>
                </c:pt>
                <c:pt idx="7">
                  <c:v>-3.5</c:v>
                </c:pt>
                <c:pt idx="8">
                  <c:v>-4.2</c:v>
                </c:pt>
                <c:pt idx="9">
                  <c:v>-4.7</c:v>
                </c:pt>
                <c:pt idx="10">
                  <c:v>-5.3</c:v>
                </c:pt>
                <c:pt idx="11">
                  <c:v>-6</c:v>
                </c:pt>
                <c:pt idx="12">
                  <c:v>-7.8</c:v>
                </c:pt>
                <c:pt idx="13">
                  <c:v>-10.2</c:v>
                </c:pt>
                <c:pt idx="14">
                  <c:v>-13.1</c:v>
                </c:pt>
                <c:pt idx="15">
                  <c:v>-16.4</c:v>
                </c:pt>
                <c:pt idx="16">
                  <c:v>-20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327238"/>
        <c:axId val="904780101"/>
      </c:scatterChart>
      <c:valAx>
        <c:axId val="526327238"/>
        <c:scaling>
          <c:logBase val="10"/>
          <c:orientation val="minMax"/>
          <c:min val="10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4780101"/>
        <c:crosses val="autoZero"/>
        <c:crossBetween val="midCat"/>
      </c:valAx>
      <c:valAx>
        <c:axId val="904780101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6327238"/>
        <c:crossesAt val="1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a78da87-5feb-4af1-b1e6-2ebcd56edc5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8255</xdr:colOff>
      <xdr:row>1</xdr:row>
      <xdr:rowOff>198755</xdr:rowOff>
    </xdr:from>
    <xdr:to>
      <xdr:col>12</xdr:col>
      <xdr:colOff>425450</xdr:colOff>
      <xdr:row>15</xdr:row>
      <xdr:rowOff>97155</xdr:rowOff>
    </xdr:to>
    <xdr:graphicFrame>
      <xdr:nvGraphicFramePr>
        <xdr:cNvPr id="3" name="Chart 2"/>
        <xdr:cNvGraphicFramePr/>
      </xdr:nvGraphicFramePr>
      <xdr:xfrm>
        <a:off x="5619750" y="412115"/>
        <a:ext cx="4806315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3"/>
  <sheetViews>
    <sheetView workbookViewId="0">
      <selection activeCell="I2" sqref="I2"/>
    </sheetView>
  </sheetViews>
  <sheetFormatPr defaultColWidth="9" defaultRowHeight="14.4"/>
  <cols>
    <col min="1" max="1" width="5.5625" style="30" customWidth="1"/>
    <col min="2" max="4" width="10.5625" style="30" customWidth="1"/>
    <col min="5" max="5" width="20.5625" style="30" customWidth="1"/>
    <col min="6" max="6" width="15.5625" style="30" customWidth="1"/>
    <col min="7" max="7" width="30.5625" style="36" customWidth="1"/>
    <col min="8" max="8" width="10.5625" style="30" customWidth="1"/>
    <col min="9" max="9" width="15.5625" style="5" customWidth="1"/>
    <col min="10" max="13" width="10.5625" style="5" customWidth="1"/>
    <col min="14" max="14" width="9" style="5"/>
    <col min="15" max="15" width="20.5625" style="5" customWidth="1"/>
    <col min="16" max="17" width="10.5625" style="5" customWidth="1"/>
    <col min="18" max="16384" width="9" style="5"/>
  </cols>
  <sheetData>
    <row r="1" spans="1:8">
      <c r="A1" s="5"/>
      <c r="B1" s="5"/>
      <c r="C1" s="5"/>
      <c r="D1" s="5"/>
      <c r="E1" s="5"/>
      <c r="F1" s="5"/>
      <c r="G1" s="27"/>
      <c r="H1" s="5"/>
    </row>
    <row r="2" s="35" customFormat="1" ht="18" spans="1:21">
      <c r="A2" s="27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7" t="s">
        <v>6</v>
      </c>
      <c r="H2" s="28" t="s">
        <v>7</v>
      </c>
      <c r="I2" s="27" t="s">
        <v>8</v>
      </c>
      <c r="J2" s="27" t="s">
        <v>9</v>
      </c>
      <c r="K2" s="27" t="s">
        <v>10</v>
      </c>
      <c r="L2" s="27" t="s">
        <v>11</v>
      </c>
      <c r="M2" s="27" t="s">
        <v>12</v>
      </c>
      <c r="N2" s="27" t="s">
        <v>13</v>
      </c>
      <c r="O2" s="27" t="s">
        <v>14</v>
      </c>
      <c r="P2" s="27" t="s">
        <v>15</v>
      </c>
      <c r="Q2" s="27" t="s">
        <v>16</v>
      </c>
      <c r="R2" s="27" t="s">
        <v>17</v>
      </c>
      <c r="S2" s="27" t="s">
        <v>18</v>
      </c>
      <c r="T2" s="27" t="s">
        <v>17</v>
      </c>
      <c r="U2" s="27" t="s">
        <v>18</v>
      </c>
    </row>
    <row r="3" spans="1:21">
      <c r="A3" s="29">
        <v>1</v>
      </c>
      <c r="B3" s="29">
        <v>72</v>
      </c>
      <c r="C3" s="29">
        <v>400000</v>
      </c>
      <c r="D3" s="29">
        <v>10</v>
      </c>
      <c r="E3" s="37">
        <f>3.14*POWER(D3,2)/4</f>
        <v>78.5</v>
      </c>
      <c r="F3" s="37">
        <v>1898.58</v>
      </c>
      <c r="G3" s="38">
        <f>(B3*POWER(10,10))/(4*C3*F3*E3)</f>
        <v>3.01935345175506</v>
      </c>
      <c r="H3" s="39" t="str">
        <f>IF((B3*POWER(10,10))/(4*C3*G3*E3)&gt;1200,IF((B3*POWER(10,10))/(4*C3*G3*E3)&lt;2000,"OK","NG"),"NG")</f>
        <v>OK</v>
      </c>
      <c r="I3" s="30">
        <f>B3/G3</f>
        <v>23.8461648</v>
      </c>
      <c r="J3" s="30">
        <f>B3*3</f>
        <v>216</v>
      </c>
      <c r="K3" s="34">
        <v>0.5</v>
      </c>
      <c r="L3" s="30">
        <f>J3*K3</f>
        <v>108</v>
      </c>
      <c r="M3" s="34">
        <f>L3/B3</f>
        <v>1.5</v>
      </c>
      <c r="N3" s="30">
        <f>J3/I3</f>
        <v>9.05806035526518</v>
      </c>
      <c r="O3" s="30">
        <v>1.5</v>
      </c>
      <c r="P3" s="40">
        <f>SQRT((M3*0.9/(O3+5))/0.9)</f>
        <v>0.480384461415261</v>
      </c>
      <c r="Q3" s="40">
        <f>SQRT((K3*0.9/(O3+5))/0.9)</f>
        <v>0.277350098112615</v>
      </c>
      <c r="R3" s="5">
        <v>1</v>
      </c>
      <c r="S3" s="5">
        <v>1</v>
      </c>
      <c r="T3" s="5">
        <f>IF(((M3*0.9/(O3+5)))/(R3*R3*1)&lt;1,1,((M3*0.9/(O3+5))/(R3*R3*1)))</f>
        <v>1</v>
      </c>
      <c r="U3" s="5">
        <f>IF(((K3*0.9/(O3+5)))/(S3*S3*1)&lt;1,1,((K3*0.9/(O3+5))/(S3*S3*1)))</f>
        <v>1</v>
      </c>
    </row>
    <row r="4" spans="1:8">
      <c r="A4" s="29"/>
      <c r="B4" s="29"/>
      <c r="C4" s="29"/>
      <c r="D4" s="29"/>
      <c r="E4" s="29"/>
      <c r="F4" s="29"/>
      <c r="G4" s="38"/>
      <c r="H4" s="29"/>
    </row>
    <row r="5" spans="1:8">
      <c r="A5" s="29"/>
      <c r="B5" s="29"/>
      <c r="C5" s="29"/>
      <c r="D5" s="29"/>
      <c r="E5" s="29"/>
      <c r="F5" s="29"/>
      <c r="G5" s="38"/>
      <c r="H5" s="29"/>
    </row>
    <row r="6" spans="1:8">
      <c r="A6" s="29"/>
      <c r="B6" s="29"/>
      <c r="C6" s="29"/>
      <c r="D6" s="29"/>
      <c r="E6" s="29"/>
      <c r="F6" s="29"/>
      <c r="G6" s="38"/>
      <c r="H6" s="29"/>
    </row>
    <row r="7" spans="1:8">
      <c r="A7" s="29"/>
      <c r="B7" s="29"/>
      <c r="C7" s="29"/>
      <c r="D7" s="29"/>
      <c r="E7" s="29"/>
      <c r="F7" s="29"/>
      <c r="G7" s="38"/>
      <c r="H7" s="29"/>
    </row>
    <row r="8" spans="1:8">
      <c r="A8" s="29"/>
      <c r="B8" s="29"/>
      <c r="C8" s="29"/>
      <c r="D8" s="29"/>
      <c r="E8" s="29"/>
      <c r="F8" s="29"/>
      <c r="G8" s="38"/>
      <c r="H8" s="29"/>
    </row>
    <row r="9" spans="1:8">
      <c r="A9" s="29"/>
      <c r="B9" s="29"/>
      <c r="C9" s="29"/>
      <c r="D9" s="29"/>
      <c r="E9" s="29"/>
      <c r="F9" s="29"/>
      <c r="G9" s="38"/>
      <c r="H9" s="29"/>
    </row>
    <row r="10" spans="1:8">
      <c r="A10" s="29"/>
      <c r="B10" s="29"/>
      <c r="C10" s="29"/>
      <c r="D10" s="29"/>
      <c r="E10" s="29"/>
      <c r="F10" s="29"/>
      <c r="G10" s="38"/>
      <c r="H10" s="29"/>
    </row>
    <row r="11" spans="1:8">
      <c r="A11" s="29"/>
      <c r="B11" s="29"/>
      <c r="C11" s="29"/>
      <c r="D11" s="29"/>
      <c r="E11" s="29"/>
      <c r="F11" s="29"/>
      <c r="G11" s="38"/>
      <c r="H11" s="29"/>
    </row>
    <row r="12" spans="1:8">
      <c r="A12" s="29"/>
      <c r="B12" s="29"/>
      <c r="C12" s="29"/>
      <c r="D12" s="29"/>
      <c r="E12" s="29"/>
      <c r="F12" s="29"/>
      <c r="G12" s="38"/>
      <c r="H12" s="29"/>
    </row>
    <row r="13" spans="1:8">
      <c r="A13" s="29"/>
      <c r="B13" s="29"/>
      <c r="C13" s="29"/>
      <c r="D13" s="29"/>
      <c r="E13" s="29"/>
      <c r="F13" s="29"/>
      <c r="G13" s="38"/>
      <c r="H13" s="29"/>
    </row>
    <row r="14" spans="1:8">
      <c r="A14" s="29"/>
      <c r="B14" s="29"/>
      <c r="C14" s="29"/>
      <c r="D14" s="29"/>
      <c r="E14" s="29"/>
      <c r="F14" s="29"/>
      <c r="G14" s="38"/>
      <c r="H14" s="29"/>
    </row>
    <row r="15" spans="1:8">
      <c r="A15" s="29"/>
      <c r="B15" s="29"/>
      <c r="C15" s="29"/>
      <c r="D15" s="29"/>
      <c r="E15" s="29"/>
      <c r="F15" s="29"/>
      <c r="G15" s="38"/>
      <c r="H15" s="29"/>
    </row>
    <row r="16" spans="1:8">
      <c r="A16" s="29"/>
      <c r="B16" s="29"/>
      <c r="C16" s="29"/>
      <c r="D16" s="29"/>
      <c r="E16" s="29"/>
      <c r="F16" s="29"/>
      <c r="G16" s="38"/>
      <c r="H16" s="29"/>
    </row>
    <row r="17" spans="1:8">
      <c r="A17" s="29"/>
      <c r="B17" s="29"/>
      <c r="C17" s="29"/>
      <c r="D17" s="29"/>
      <c r="E17" s="29"/>
      <c r="F17" s="29"/>
      <c r="G17" s="38"/>
      <c r="H17" s="29"/>
    </row>
    <row r="18" spans="1:8">
      <c r="A18" s="29"/>
      <c r="B18" s="29"/>
      <c r="C18" s="29"/>
      <c r="D18" s="29"/>
      <c r="E18" s="29"/>
      <c r="F18" s="29"/>
      <c r="G18" s="38"/>
      <c r="H18" s="29"/>
    </row>
    <row r="19" spans="1:8">
      <c r="A19" s="29"/>
      <c r="B19" s="29"/>
      <c r="C19" s="29"/>
      <c r="D19" s="29"/>
      <c r="E19" s="29"/>
      <c r="F19" s="29"/>
      <c r="G19" s="38"/>
      <c r="H19" s="29"/>
    </row>
    <row r="20" spans="1:8">
      <c r="A20" s="29"/>
      <c r="B20" s="29"/>
      <c r="C20" s="29"/>
      <c r="D20" s="29"/>
      <c r="E20" s="29"/>
      <c r="F20" s="29"/>
      <c r="G20" s="38"/>
      <c r="H20" s="29"/>
    </row>
    <row r="21" spans="1:8">
      <c r="A21" s="29"/>
      <c r="B21" s="29"/>
      <c r="C21" s="29"/>
      <c r="D21" s="29"/>
      <c r="E21" s="29"/>
      <c r="F21" s="29"/>
      <c r="G21" s="38"/>
      <c r="H21" s="29"/>
    </row>
    <row r="22" spans="1:8">
      <c r="A22" s="29"/>
      <c r="B22" s="29"/>
      <c r="C22" s="29"/>
      <c r="D22" s="29"/>
      <c r="E22" s="29"/>
      <c r="F22" s="29"/>
      <c r="G22" s="38"/>
      <c r="H22" s="29"/>
    </row>
    <row r="23" spans="1:8">
      <c r="A23" s="29"/>
      <c r="B23" s="29"/>
      <c r="C23" s="29"/>
      <c r="D23" s="29"/>
      <c r="E23" s="29"/>
      <c r="F23" s="29"/>
      <c r="G23" s="38"/>
      <c r="H23" s="29"/>
    </row>
    <row r="24" spans="1:8">
      <c r="A24" s="29"/>
      <c r="B24" s="29"/>
      <c r="C24" s="29"/>
      <c r="D24" s="29"/>
      <c r="E24" s="29"/>
      <c r="F24" s="29"/>
      <c r="G24" s="38"/>
      <c r="H24" s="29"/>
    </row>
    <row r="25" spans="1:8">
      <c r="A25" s="29"/>
      <c r="B25" s="29"/>
      <c r="C25" s="29"/>
      <c r="D25" s="29"/>
      <c r="E25" s="29"/>
      <c r="F25" s="29"/>
      <c r="G25" s="38"/>
      <c r="H25" s="29"/>
    </row>
    <row r="26" spans="1:8">
      <c r="A26" s="29"/>
      <c r="B26" s="29"/>
      <c r="C26" s="29"/>
      <c r="D26" s="29"/>
      <c r="E26" s="29"/>
      <c r="F26" s="29"/>
      <c r="G26" s="38"/>
      <c r="H26" s="29"/>
    </row>
    <row r="27" spans="1:8">
      <c r="A27" s="29"/>
      <c r="B27" s="29"/>
      <c r="C27" s="29"/>
      <c r="D27" s="29"/>
      <c r="E27" s="29"/>
      <c r="F27" s="29"/>
      <c r="G27" s="38"/>
      <c r="H27" s="29"/>
    </row>
    <row r="28" spans="1:8">
      <c r="A28" s="29"/>
      <c r="B28" s="29"/>
      <c r="C28" s="29"/>
      <c r="D28" s="29"/>
      <c r="E28" s="29"/>
      <c r="F28" s="29"/>
      <c r="G28" s="38"/>
      <c r="H28" s="29"/>
    </row>
    <row r="29" spans="1:8">
      <c r="A29" s="29"/>
      <c r="B29" s="29"/>
      <c r="C29" s="29"/>
      <c r="D29" s="29"/>
      <c r="E29" s="29"/>
      <c r="F29" s="29"/>
      <c r="G29" s="38"/>
      <c r="H29" s="29"/>
    </row>
    <row r="30" spans="1:8">
      <c r="A30" s="29"/>
      <c r="B30" s="29"/>
      <c r="C30" s="29"/>
      <c r="D30" s="29"/>
      <c r="E30" s="29"/>
      <c r="F30" s="29"/>
      <c r="G30" s="38"/>
      <c r="H30" s="29"/>
    </row>
    <row r="31" spans="1:8">
      <c r="A31" s="29"/>
      <c r="B31" s="29"/>
      <c r="C31" s="29"/>
      <c r="D31" s="29"/>
      <c r="E31" s="29"/>
      <c r="F31" s="29"/>
      <c r="G31" s="38"/>
      <c r="H31" s="29"/>
    </row>
    <row r="32" spans="1:8">
      <c r="A32" s="29"/>
      <c r="B32" s="29"/>
      <c r="C32" s="29"/>
      <c r="D32" s="29"/>
      <c r="E32" s="29"/>
      <c r="F32" s="29"/>
      <c r="G32" s="38"/>
      <c r="H32" s="29"/>
    </row>
    <row r="33" spans="1:8">
      <c r="A33" s="29"/>
      <c r="B33" s="29"/>
      <c r="C33" s="29"/>
      <c r="D33" s="29"/>
      <c r="E33" s="29"/>
      <c r="F33" s="29"/>
      <c r="G33" s="38"/>
      <c r="H33" s="29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U12"/>
  <sheetViews>
    <sheetView workbookViewId="0">
      <selection activeCell="I2" sqref="I2"/>
    </sheetView>
  </sheetViews>
  <sheetFormatPr defaultColWidth="9" defaultRowHeight="14.4"/>
  <cols>
    <col min="1" max="1" width="5.5625" style="5" customWidth="1"/>
    <col min="2" max="7" width="10.5625" style="5" customWidth="1"/>
    <col min="8" max="8" width="20.5625" style="5" customWidth="1"/>
    <col min="9" max="9" width="15.5625" style="5" customWidth="1"/>
    <col min="10" max="10" width="30.5625" style="5" customWidth="1"/>
    <col min="11" max="11" width="9" style="5"/>
    <col min="12" max="12" width="15.5625" style="5" customWidth="1"/>
    <col min="13" max="16" width="10.5625" style="5" customWidth="1"/>
    <col min="17" max="17" width="9" style="5"/>
    <col min="18" max="18" width="20.5625" style="5" customWidth="1"/>
    <col min="19" max="20" width="10.5625" style="5" customWidth="1"/>
    <col min="21" max="16384" width="9" style="5"/>
  </cols>
  <sheetData>
    <row r="2" ht="18" spans="1:20">
      <c r="A2" s="27" t="s">
        <v>0</v>
      </c>
      <c r="B2" s="28" t="s">
        <v>1</v>
      </c>
      <c r="C2" s="28" t="s">
        <v>2</v>
      </c>
      <c r="D2" s="28"/>
      <c r="E2" s="28" t="s">
        <v>19</v>
      </c>
      <c r="F2" s="28" t="s">
        <v>20</v>
      </c>
      <c r="G2" s="28" t="s">
        <v>21</v>
      </c>
      <c r="H2" s="28" t="s">
        <v>22</v>
      </c>
      <c r="I2" s="28" t="s">
        <v>5</v>
      </c>
      <c r="J2" s="27" t="s">
        <v>23</v>
      </c>
      <c r="L2" s="27" t="s">
        <v>8</v>
      </c>
      <c r="M2" s="27" t="s">
        <v>9</v>
      </c>
      <c r="N2" s="27" t="s">
        <v>10</v>
      </c>
      <c r="O2" s="27" t="s">
        <v>11</v>
      </c>
      <c r="P2" s="27" t="s">
        <v>12</v>
      </c>
      <c r="Q2" s="27" t="s">
        <v>13</v>
      </c>
      <c r="R2" s="27" t="s">
        <v>14</v>
      </c>
      <c r="S2" s="27" t="s">
        <v>15</v>
      </c>
      <c r="T2" s="27" t="s">
        <v>16</v>
      </c>
    </row>
    <row r="3" spans="1:21">
      <c r="A3" s="29">
        <v>1</v>
      </c>
      <c r="B3" s="29">
        <v>72</v>
      </c>
      <c r="C3" s="29">
        <v>400000</v>
      </c>
      <c r="D3" s="29" t="s">
        <v>24</v>
      </c>
      <c r="E3" s="5">
        <v>25</v>
      </c>
      <c r="F3" s="5">
        <v>40</v>
      </c>
      <c r="G3" s="5">
        <v>15</v>
      </c>
      <c r="H3" s="5">
        <f>(F3-E3)*G3/2</f>
        <v>112.5</v>
      </c>
      <c r="I3" s="5">
        <v>1800</v>
      </c>
      <c r="J3" s="5">
        <f>(B3*0.5*POWER(10,10))/(2*C3*I3*H3)</f>
        <v>2.22222222222222</v>
      </c>
      <c r="L3" s="30">
        <f>B3/J3</f>
        <v>32.4</v>
      </c>
      <c r="M3" s="5">
        <v>216</v>
      </c>
      <c r="N3" s="33">
        <v>0.5</v>
      </c>
      <c r="O3" s="5">
        <f>M3*N3</f>
        <v>108</v>
      </c>
      <c r="P3" s="34">
        <f>O3/B3</f>
        <v>1.5</v>
      </c>
      <c r="Q3" s="30">
        <f>M3/L3</f>
        <v>6.66666666666667</v>
      </c>
      <c r="R3" s="34">
        <v>2.5</v>
      </c>
      <c r="S3" s="33">
        <f>SQRT((P3*0.9/(R3+5))/0.9)</f>
        <v>0.447213595499958</v>
      </c>
      <c r="T3" s="33">
        <f>SQRT((N3*0.9/(R3+5))/0.9)</f>
        <v>0.258198889747161</v>
      </c>
      <c r="U3" s="34">
        <f>P3/R3</f>
        <v>0.6</v>
      </c>
    </row>
    <row r="4" spans="1:20">
      <c r="A4" s="29"/>
      <c r="B4" s="29">
        <v>72</v>
      </c>
      <c r="C4" s="29">
        <v>400000</v>
      </c>
      <c r="D4" s="29" t="s">
        <v>24</v>
      </c>
      <c r="E4" s="5">
        <v>23</v>
      </c>
      <c r="F4" s="5">
        <v>40</v>
      </c>
      <c r="G4" s="5">
        <v>15</v>
      </c>
      <c r="H4" s="5">
        <f t="shared" ref="H4:H9" si="0">(F4-E4)*G4/2</f>
        <v>127.5</v>
      </c>
      <c r="I4" s="5">
        <v>350</v>
      </c>
      <c r="J4" s="5">
        <f t="shared" ref="J4:J9" si="1">(B4*0.5*POWER(10,10))/(2*C4*I4*H4)</f>
        <v>10.0840336134454</v>
      </c>
      <c r="L4" s="30">
        <f t="shared" ref="L4:L9" si="2">B4/J4</f>
        <v>7.14</v>
      </c>
      <c r="M4" s="5">
        <v>216</v>
      </c>
      <c r="N4" s="33">
        <v>0.5</v>
      </c>
      <c r="O4" s="5">
        <f t="shared" ref="O4:O9" si="3">M4*N4</f>
        <v>108</v>
      </c>
      <c r="P4" s="34">
        <f t="shared" ref="P4:P9" si="4">O4/B4</f>
        <v>1.5</v>
      </c>
      <c r="Q4" s="30">
        <f t="shared" ref="Q4:Q9" si="5">M4/L4</f>
        <v>30.2521008403361</v>
      </c>
      <c r="R4" s="34">
        <v>2.5</v>
      </c>
      <c r="S4" s="33">
        <f t="shared" ref="S4:S9" si="6">SQRT((P4*0.9/(R4+5))/0.9)</f>
        <v>0.447213595499958</v>
      </c>
      <c r="T4" s="33">
        <f t="shared" ref="T4:T9" si="7">SQRT((N4*0.9/(R4+5))/0.9)</f>
        <v>0.258198889747161</v>
      </c>
    </row>
    <row r="5" spans="2:20">
      <c r="B5" s="29">
        <v>72</v>
      </c>
      <c r="C5" s="29">
        <v>400000</v>
      </c>
      <c r="D5" s="29"/>
      <c r="E5" s="5">
        <v>23.13</v>
      </c>
      <c r="F5" s="5">
        <v>39.88</v>
      </c>
      <c r="G5" s="5">
        <v>14.48</v>
      </c>
      <c r="H5" s="5">
        <f t="shared" si="0"/>
        <v>121.27</v>
      </c>
      <c r="I5" s="5">
        <v>600</v>
      </c>
      <c r="J5" s="5">
        <f t="shared" si="1"/>
        <v>6.18454687886534</v>
      </c>
      <c r="L5" s="30">
        <f t="shared" si="2"/>
        <v>11.64192</v>
      </c>
      <c r="M5" s="5">
        <v>216</v>
      </c>
      <c r="N5" s="33">
        <v>0.5</v>
      </c>
      <c r="O5" s="5">
        <f t="shared" si="3"/>
        <v>108</v>
      </c>
      <c r="P5" s="34">
        <f t="shared" si="4"/>
        <v>1.5</v>
      </c>
      <c r="Q5" s="30">
        <f t="shared" si="5"/>
        <v>18.553640636596</v>
      </c>
      <c r="R5" s="34">
        <v>2.5</v>
      </c>
      <c r="S5" s="33">
        <f t="shared" si="6"/>
        <v>0.447213595499958</v>
      </c>
      <c r="T5" s="33">
        <f t="shared" si="7"/>
        <v>0.258198889747161</v>
      </c>
    </row>
    <row r="6" spans="2:20">
      <c r="B6" s="29">
        <v>72</v>
      </c>
      <c r="C6" s="29">
        <v>400000</v>
      </c>
      <c r="D6" s="29"/>
      <c r="E6" s="5">
        <v>23.13</v>
      </c>
      <c r="F6" s="5">
        <v>39.88</v>
      </c>
      <c r="G6" s="5">
        <v>14.48</v>
      </c>
      <c r="H6" s="5">
        <f t="shared" si="0"/>
        <v>121.27</v>
      </c>
      <c r="I6" s="5">
        <v>350</v>
      </c>
      <c r="J6" s="5">
        <f t="shared" si="1"/>
        <v>10.6020803637692</v>
      </c>
      <c r="L6" s="30">
        <f t="shared" si="2"/>
        <v>6.79112</v>
      </c>
      <c r="M6" s="5">
        <v>216</v>
      </c>
      <c r="N6" s="33">
        <v>0.5</v>
      </c>
      <c r="O6" s="5">
        <f t="shared" si="3"/>
        <v>108</v>
      </c>
      <c r="P6" s="34">
        <f t="shared" si="4"/>
        <v>1.5</v>
      </c>
      <c r="Q6" s="30">
        <f t="shared" si="5"/>
        <v>31.8062410913075</v>
      </c>
      <c r="R6" s="34">
        <v>2.5</v>
      </c>
      <c r="S6" s="33">
        <f t="shared" si="6"/>
        <v>0.447213595499958</v>
      </c>
      <c r="T6" s="33">
        <f t="shared" si="7"/>
        <v>0.258198889747161</v>
      </c>
    </row>
    <row r="7" spans="2:20">
      <c r="B7" s="29">
        <v>72</v>
      </c>
      <c r="C7" s="29">
        <v>400000</v>
      </c>
      <c r="D7" s="5" t="s">
        <v>25</v>
      </c>
      <c r="E7" s="5">
        <v>23.3</v>
      </c>
      <c r="F7" s="5">
        <v>40.4</v>
      </c>
      <c r="G7" s="5">
        <v>15.1</v>
      </c>
      <c r="H7" s="5">
        <f t="shared" si="0"/>
        <v>129.105</v>
      </c>
      <c r="I7" s="5">
        <v>350</v>
      </c>
      <c r="J7" s="5">
        <f t="shared" si="1"/>
        <v>9.95867151322014</v>
      </c>
      <c r="L7" s="30">
        <f t="shared" si="2"/>
        <v>7.22988</v>
      </c>
      <c r="M7" s="5">
        <v>216</v>
      </c>
      <c r="N7" s="33">
        <v>0.5</v>
      </c>
      <c r="O7" s="5">
        <f t="shared" si="3"/>
        <v>108</v>
      </c>
      <c r="P7" s="34">
        <f t="shared" si="4"/>
        <v>1.5</v>
      </c>
      <c r="Q7" s="30">
        <f t="shared" si="5"/>
        <v>29.8760145396604</v>
      </c>
      <c r="R7" s="34">
        <v>2.5</v>
      </c>
      <c r="S7" s="33">
        <f t="shared" si="6"/>
        <v>0.447213595499958</v>
      </c>
      <c r="T7" s="33">
        <f t="shared" si="7"/>
        <v>0.258198889747161</v>
      </c>
    </row>
    <row r="8" spans="2:20">
      <c r="B8" s="29">
        <v>72</v>
      </c>
      <c r="C8" s="29">
        <v>400000</v>
      </c>
      <c r="D8" s="5" t="s">
        <v>26</v>
      </c>
      <c r="E8" s="5">
        <v>13.5</v>
      </c>
      <c r="F8" s="5">
        <v>23.3</v>
      </c>
      <c r="G8" s="5">
        <v>8</v>
      </c>
      <c r="H8" s="5">
        <f t="shared" si="0"/>
        <v>39.2</v>
      </c>
      <c r="I8" s="5">
        <v>350</v>
      </c>
      <c r="J8" s="5">
        <f t="shared" si="1"/>
        <v>32.798833819242</v>
      </c>
      <c r="L8" s="30">
        <f t="shared" si="2"/>
        <v>2.1952</v>
      </c>
      <c r="M8" s="5">
        <v>216</v>
      </c>
      <c r="N8" s="33">
        <v>0.5</v>
      </c>
      <c r="O8" s="5">
        <f t="shared" si="3"/>
        <v>108</v>
      </c>
      <c r="P8" s="34">
        <f t="shared" si="4"/>
        <v>1.5</v>
      </c>
      <c r="Q8" s="30">
        <f t="shared" si="5"/>
        <v>98.396501457726</v>
      </c>
      <c r="R8" s="34">
        <v>2.5</v>
      </c>
      <c r="S8" s="33">
        <f t="shared" si="6"/>
        <v>0.447213595499958</v>
      </c>
      <c r="T8" s="33">
        <f t="shared" si="7"/>
        <v>0.258198889747161</v>
      </c>
    </row>
    <row r="9" spans="2:20">
      <c r="B9" s="29">
        <v>72</v>
      </c>
      <c r="C9" s="29">
        <v>400000</v>
      </c>
      <c r="E9" s="5">
        <v>23.3</v>
      </c>
      <c r="F9" s="5">
        <v>40.6</v>
      </c>
      <c r="G9" s="5">
        <v>14.9</v>
      </c>
      <c r="H9" s="5">
        <f t="shared" si="0"/>
        <v>128.885</v>
      </c>
      <c r="I9" s="5">
        <v>350</v>
      </c>
      <c r="J9" s="5">
        <f t="shared" si="1"/>
        <v>9.9756704481847</v>
      </c>
      <c r="L9" s="30">
        <f t="shared" si="2"/>
        <v>7.21756</v>
      </c>
      <c r="M9" s="5">
        <v>216</v>
      </c>
      <c r="N9" s="33">
        <v>0.5</v>
      </c>
      <c r="O9" s="5">
        <f t="shared" si="3"/>
        <v>108</v>
      </c>
      <c r="P9" s="34">
        <f t="shared" si="4"/>
        <v>1.5</v>
      </c>
      <c r="Q9" s="30">
        <f t="shared" si="5"/>
        <v>29.9270113445541</v>
      </c>
      <c r="R9" s="34">
        <v>2.5</v>
      </c>
      <c r="S9" s="33">
        <f t="shared" si="6"/>
        <v>0.447213595499958</v>
      </c>
      <c r="T9" s="33">
        <f t="shared" si="7"/>
        <v>0.258198889747161</v>
      </c>
    </row>
    <row r="10" spans="10:10">
      <c r="J10" s="31"/>
    </row>
    <row r="11" spans="10:10">
      <c r="J11" s="30"/>
    </row>
    <row r="12" spans="10:10">
      <c r="J12" s="3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38"/>
  <sheetViews>
    <sheetView zoomScale="117" zoomScaleNormal="117" workbookViewId="0">
      <selection activeCell="I2" sqref="I2"/>
    </sheetView>
  </sheetViews>
  <sheetFormatPr defaultColWidth="9" defaultRowHeight="14.4"/>
  <cols>
    <col min="1" max="1" width="5.5625" style="5" customWidth="1"/>
    <col min="2" max="2" width="15.5625" style="6" customWidth="1"/>
    <col min="3" max="3" width="15.5625" style="5" customWidth="1"/>
    <col min="4" max="4" width="5.5625" style="5" customWidth="1"/>
    <col min="5" max="5" width="18.5625" style="5" customWidth="1"/>
    <col min="6" max="6" width="34.6015625" style="5" customWidth="1"/>
    <col min="7" max="12" width="18.5625" style="5" customWidth="1"/>
    <col min="13" max="13" width="5.2265625" style="5" customWidth="1"/>
    <col min="14" max="14" width="25.4375" style="5" customWidth="1"/>
    <col min="15" max="17" width="5.5625" style="5" customWidth="1"/>
    <col min="18" max="18" width="15.5625" style="5" customWidth="1"/>
    <col min="19" max="20" width="9" style="5"/>
    <col min="21" max="22" width="20.5625" style="5" customWidth="1"/>
    <col min="23" max="23" width="9" style="5"/>
    <col min="24" max="24" width="11.125" style="5"/>
    <col min="25" max="16384" width="9" style="5"/>
  </cols>
  <sheetData>
    <row r="3" spans="2:6">
      <c r="B3" s="7" t="s">
        <v>27</v>
      </c>
      <c r="C3" s="8">
        <v>400000</v>
      </c>
      <c r="D3" s="8" t="s">
        <v>28</v>
      </c>
      <c r="F3" s="5" t="s">
        <v>27</v>
      </c>
    </row>
    <row r="4" customHeight="1" spans="2:4">
      <c r="B4" s="7" t="s">
        <v>29</v>
      </c>
      <c r="C4" s="8">
        <v>100</v>
      </c>
      <c r="D4" s="8" t="s">
        <v>30</v>
      </c>
    </row>
    <row r="5" customHeight="1" spans="2:4">
      <c r="B5" s="7" t="s">
        <v>31</v>
      </c>
      <c r="C5" s="8">
        <f>C4/2</f>
        <v>50</v>
      </c>
      <c r="D5" s="8" t="s">
        <v>30</v>
      </c>
    </row>
    <row r="6" customHeight="1" spans="2:4">
      <c r="B6" s="7"/>
      <c r="C6" s="8"/>
      <c r="D6" s="8"/>
    </row>
    <row r="7" spans="2:4">
      <c r="B7" s="9" t="s">
        <v>32</v>
      </c>
      <c r="D7" s="8"/>
    </row>
    <row r="8" ht="18" spans="2:24">
      <c r="B8" s="7" t="s">
        <v>33</v>
      </c>
      <c r="C8" s="10">
        <f>((C5*SQRT(2))/(2*3.14*C3))*1000000</f>
        <v>28.1491553020122</v>
      </c>
      <c r="D8" s="8" t="s">
        <v>34</v>
      </c>
      <c r="M8" s="18"/>
      <c r="N8" s="8" t="s">
        <v>35</v>
      </c>
      <c r="O8" s="24">
        <v>1.4</v>
      </c>
      <c r="P8" s="8"/>
      <c r="S8" s="8"/>
      <c r="T8" s="18"/>
      <c r="U8" s="18"/>
      <c r="V8" s="8"/>
      <c r="W8" s="8"/>
      <c r="X8" s="8"/>
    </row>
    <row r="9" ht="18" spans="2:24">
      <c r="B9" s="7" t="s">
        <v>36</v>
      </c>
      <c r="C9" s="11">
        <f>(1/(2*3.14*C3*C5*SQRT(2)))*1000000000</f>
        <v>5.62983106040245</v>
      </c>
      <c r="D9" s="8" t="s">
        <v>37</v>
      </c>
      <c r="M9" s="16"/>
      <c r="N9" s="8" t="s">
        <v>38</v>
      </c>
      <c r="O9" s="24">
        <v>0.707</v>
      </c>
      <c r="P9" s="25"/>
      <c r="S9" s="8"/>
      <c r="T9" s="10"/>
      <c r="U9" s="10"/>
      <c r="V9" s="26"/>
      <c r="W9" s="26"/>
      <c r="X9" s="8"/>
    </row>
    <row r="10" ht="18" spans="2:24">
      <c r="B10" s="7" t="s">
        <v>39</v>
      </c>
      <c r="C10" s="12">
        <f>C9/2</f>
        <v>2.81491553020122</v>
      </c>
      <c r="D10" s="8" t="s">
        <v>37</v>
      </c>
      <c r="E10" s="16"/>
      <c r="F10" s="17"/>
      <c r="G10" s="8"/>
      <c r="H10" s="8"/>
      <c r="I10" s="8"/>
      <c r="J10" s="10"/>
      <c r="K10" s="10"/>
      <c r="L10" s="16"/>
      <c r="M10" s="16"/>
      <c r="N10" s="8" t="s">
        <v>40</v>
      </c>
      <c r="O10" s="24">
        <v>0.3</v>
      </c>
      <c r="P10" s="8"/>
      <c r="S10" s="8"/>
      <c r="T10" s="8"/>
      <c r="U10" s="8"/>
      <c r="V10" s="8"/>
      <c r="W10" s="8"/>
      <c r="X10" s="8"/>
    </row>
    <row r="11" spans="2:24">
      <c r="B11" s="13"/>
      <c r="C11" s="8"/>
      <c r="D11" s="8"/>
      <c r="J11" s="10"/>
      <c r="K11" s="10"/>
      <c r="L11" s="16"/>
      <c r="M11" s="16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spans="2:24">
      <c r="B12" s="9" t="s">
        <v>41</v>
      </c>
      <c r="C12" s="14"/>
      <c r="D12" s="8"/>
      <c r="E12" s="18"/>
      <c r="F12" s="18"/>
      <c r="G12" s="18"/>
      <c r="H12" s="18"/>
      <c r="I12" s="18"/>
      <c r="J12" s="22"/>
      <c r="K12" s="22"/>
      <c r="L12" s="23"/>
      <c r="M12" s="23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ht="18" spans="2:24">
      <c r="B13" s="7" t="s">
        <v>42</v>
      </c>
      <c r="C13" s="8">
        <v>29</v>
      </c>
      <c r="D13" s="8" t="s">
        <v>34</v>
      </c>
      <c r="F13" s="19"/>
      <c r="G13" s="20"/>
      <c r="J13" s="10"/>
      <c r="K13" s="10"/>
      <c r="L13" s="16"/>
      <c r="M13" s="16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ht="18" spans="2:24">
      <c r="B14" s="7" t="s">
        <v>43</v>
      </c>
      <c r="C14" s="15">
        <v>2.7</v>
      </c>
      <c r="D14" s="8" t="s">
        <v>37</v>
      </c>
      <c r="E14" s="16"/>
      <c r="F14" s="21"/>
      <c r="G14" s="8"/>
      <c r="H14" s="8"/>
      <c r="I14" s="8"/>
      <c r="J14" s="10"/>
      <c r="K14" s="10"/>
      <c r="L14" s="16"/>
      <c r="M14" s="16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ht="18" spans="2:25">
      <c r="B15" s="7" t="s">
        <v>44</v>
      </c>
      <c r="C15" s="15">
        <f>2*C14</f>
        <v>5.4</v>
      </c>
      <c r="D15" s="8" t="s">
        <v>37</v>
      </c>
      <c r="E15" s="8"/>
      <c r="F15" s="21"/>
      <c r="G15" s="16"/>
      <c r="H15" s="16"/>
      <c r="I15" s="16"/>
      <c r="J15" s="8"/>
      <c r="K15" s="10"/>
      <c r="L15" s="10"/>
      <c r="M15" s="10"/>
      <c r="N15" s="10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18" spans="2:25">
      <c r="B16" s="7" t="s">
        <v>45</v>
      </c>
      <c r="C16" s="10">
        <f>C5*SQRT((C15*POWER(10,-9))/(C13*POWER(10,-6)))</f>
        <v>0.682288239221013</v>
      </c>
      <c r="D16" s="8"/>
      <c r="E16" s="8"/>
      <c r="F16" s="12"/>
      <c r="G16" s="12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 ht="18" spans="2:25">
      <c r="B17" s="7" t="s">
        <v>46</v>
      </c>
      <c r="C17" s="10">
        <f>1/(2*3.14*SQRT((C13/POWER(10,6))*(C15/POWER(10,9))))</f>
        <v>402387.496591775</v>
      </c>
      <c r="D17" s="8" t="s">
        <v>28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18" spans="2:25">
      <c r="B18" s="7" t="s">
        <v>47</v>
      </c>
      <c r="C18" s="10">
        <f>20*LOG10(C16)</f>
        <v>-3.3206422940395</v>
      </c>
      <c r="D18" s="8" t="s">
        <v>48</v>
      </c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 spans="2:25">
      <c r="B19" s="13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 spans="2:25">
      <c r="B20" s="13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 spans="2:25">
      <c r="B21" s="13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 spans="2:25">
      <c r="B22" s="13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 spans="2:25">
      <c r="B23" s="13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 spans="2:25">
      <c r="B24" s="13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 spans="2:25">
      <c r="B25" s="13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 spans="2:25">
      <c r="B26" s="13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 spans="2:25">
      <c r="B27" s="13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 spans="2:25">
      <c r="B28" s="13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spans="2:25">
      <c r="B29" s="13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spans="2:25">
      <c r="B30" s="13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 spans="2:25">
      <c r="B31" s="13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 spans="2:25">
      <c r="B32" s="13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 spans="2:25">
      <c r="B33" s="13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 spans="2:25">
      <c r="B34" s="13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 spans="2:25">
      <c r="B35" s="13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 spans="2:25">
      <c r="B36" s="13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 spans="2:25">
      <c r="B37" s="13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spans="2:25">
      <c r="B38" s="13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18"/>
  <sheetViews>
    <sheetView workbookViewId="0">
      <selection activeCell="I2" sqref="I2"/>
    </sheetView>
  </sheetViews>
  <sheetFormatPr defaultColWidth="9" defaultRowHeight="16.8" outlineLevelCol="5"/>
  <cols>
    <col min="1" max="4" width="9" style="2"/>
    <col min="5" max="5" width="6.875" style="2" customWidth="1"/>
    <col min="6" max="6" width="26.1640625" style="2" customWidth="1"/>
    <col min="7" max="16384" width="9" style="2"/>
  </cols>
  <sheetData>
    <row r="1" spans="2:3">
      <c r="B1" s="2" t="s">
        <v>49</v>
      </c>
      <c r="C1" s="2" t="s">
        <v>50</v>
      </c>
    </row>
    <row r="2" spans="2:6">
      <c r="B2" s="3">
        <v>10</v>
      </c>
      <c r="C2" s="3">
        <v>-0.1</v>
      </c>
      <c r="D2" s="3">
        <v>0.989</v>
      </c>
      <c r="E2" s="4">
        <v>0.989</v>
      </c>
      <c r="F2" s="3" t="s">
        <v>51</v>
      </c>
    </row>
    <row r="3" spans="2:6">
      <c r="B3" s="3">
        <v>50</v>
      </c>
      <c r="C3" s="3">
        <v>-0.2</v>
      </c>
      <c r="D3" s="3">
        <v>0.977</v>
      </c>
      <c r="E3" s="4">
        <v>0.977</v>
      </c>
      <c r="F3" s="3" t="s">
        <v>51</v>
      </c>
    </row>
    <row r="4" spans="2:6">
      <c r="B4" s="3">
        <v>100</v>
      </c>
      <c r="C4" s="3">
        <v>-0.8</v>
      </c>
      <c r="D4" s="3">
        <v>0.912</v>
      </c>
      <c r="E4" s="4">
        <v>0.912</v>
      </c>
      <c r="F4" s="3" t="s">
        <v>52</v>
      </c>
    </row>
    <row r="5" spans="2:6">
      <c r="B5" s="3">
        <v>150</v>
      </c>
      <c r="C5" s="3">
        <v>-1.8</v>
      </c>
      <c r="D5" s="3">
        <v>0.813</v>
      </c>
      <c r="E5" s="4">
        <v>0.813</v>
      </c>
      <c r="F5" s="3" t="s">
        <v>53</v>
      </c>
    </row>
    <row r="6" spans="2:6">
      <c r="B6" s="3">
        <v>200</v>
      </c>
      <c r="C6" s="3">
        <v>-3.2</v>
      </c>
      <c r="D6" s="3">
        <v>0.692</v>
      </c>
      <c r="E6" s="4">
        <v>0.692</v>
      </c>
      <c r="F6" s="3" t="s">
        <v>53</v>
      </c>
    </row>
    <row r="7" spans="2:6">
      <c r="B7" s="3">
        <v>250</v>
      </c>
      <c r="C7" s="3">
        <v>-2.8</v>
      </c>
      <c r="D7" s="3">
        <v>0.724</v>
      </c>
      <c r="E7" s="4">
        <v>0.724</v>
      </c>
      <c r="F7" s="3" t="s">
        <v>54</v>
      </c>
    </row>
    <row r="8" spans="2:6">
      <c r="B8" s="3">
        <v>283</v>
      </c>
      <c r="C8" s="3">
        <v>-3</v>
      </c>
      <c r="D8" s="3">
        <v>0.708</v>
      </c>
      <c r="E8" s="4">
        <v>0.708</v>
      </c>
      <c r="F8" s="3" t="s">
        <v>55</v>
      </c>
    </row>
    <row r="9" spans="2:6">
      <c r="B9" s="3">
        <v>300</v>
      </c>
      <c r="C9" s="3">
        <v>-3.5</v>
      </c>
      <c r="D9" s="3">
        <v>0.668</v>
      </c>
      <c r="E9" s="4">
        <v>0.668</v>
      </c>
      <c r="F9" s="3" t="s">
        <v>56</v>
      </c>
    </row>
    <row r="10" spans="2:6">
      <c r="B10" s="3">
        <v>350</v>
      </c>
      <c r="C10" s="3">
        <v>-4.2</v>
      </c>
      <c r="D10" s="3">
        <v>0.617</v>
      </c>
      <c r="E10" s="4">
        <v>0.617</v>
      </c>
      <c r="F10" s="3" t="s">
        <v>57</v>
      </c>
    </row>
    <row r="11" spans="2:6">
      <c r="B11" s="3">
        <v>400</v>
      </c>
      <c r="C11" s="3">
        <v>-4.7</v>
      </c>
      <c r="D11" s="3">
        <v>0.585</v>
      </c>
      <c r="E11" s="4">
        <v>0.585</v>
      </c>
      <c r="F11" s="3" t="s">
        <v>58</v>
      </c>
    </row>
    <row r="12" spans="2:6">
      <c r="B12" s="3">
        <v>450</v>
      </c>
      <c r="C12" s="3">
        <v>-5.3</v>
      </c>
      <c r="D12" s="3">
        <v>0.544</v>
      </c>
      <c r="E12" s="4">
        <v>0.544</v>
      </c>
      <c r="F12" s="3" t="s">
        <v>57</v>
      </c>
    </row>
    <row r="13" spans="2:6">
      <c r="B13" s="3">
        <v>500</v>
      </c>
      <c r="C13" s="3">
        <v>-6</v>
      </c>
      <c r="D13" s="3">
        <v>0.501</v>
      </c>
      <c r="E13" s="4">
        <v>0.501</v>
      </c>
      <c r="F13" s="3" t="s">
        <v>59</v>
      </c>
    </row>
    <row r="14" spans="2:6">
      <c r="B14" s="3">
        <v>600</v>
      </c>
      <c r="C14" s="3">
        <v>-7.8</v>
      </c>
      <c r="D14" s="3">
        <v>0.407</v>
      </c>
      <c r="E14" s="4">
        <v>0.407</v>
      </c>
      <c r="F14" s="3" t="s">
        <v>59</v>
      </c>
    </row>
    <row r="15" spans="2:6">
      <c r="B15" s="3">
        <v>700</v>
      </c>
      <c r="C15" s="3">
        <v>-10.2</v>
      </c>
      <c r="D15" s="3">
        <v>0.307</v>
      </c>
      <c r="E15" s="4">
        <v>0.307</v>
      </c>
      <c r="F15" s="3" t="s">
        <v>60</v>
      </c>
    </row>
    <row r="16" spans="2:6">
      <c r="B16" s="3">
        <v>800</v>
      </c>
      <c r="C16" s="3">
        <v>-13.1</v>
      </c>
      <c r="D16" s="3">
        <v>0.221</v>
      </c>
      <c r="E16" s="4">
        <v>0.221</v>
      </c>
      <c r="F16" s="3" t="s">
        <v>60</v>
      </c>
    </row>
    <row r="17" spans="2:6">
      <c r="B17" s="3">
        <v>900</v>
      </c>
      <c r="C17" s="3">
        <v>-16.4</v>
      </c>
      <c r="D17" s="3">
        <v>0.151</v>
      </c>
      <c r="E17" s="4">
        <v>0.151</v>
      </c>
      <c r="F17" s="3" t="s">
        <v>61</v>
      </c>
    </row>
    <row r="18" spans="2:6">
      <c r="B18" s="3">
        <v>1000</v>
      </c>
      <c r="C18" s="3">
        <v>-20</v>
      </c>
      <c r="D18" s="3">
        <v>0.1</v>
      </c>
      <c r="E18" s="4">
        <v>0.1</v>
      </c>
      <c r="F18" s="3" t="s">
        <v>61</v>
      </c>
    </row>
  </sheetData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tabSelected="1" workbookViewId="0">
      <selection activeCell="I2" sqref="I2"/>
    </sheetView>
  </sheetViews>
  <sheetFormatPr defaultColWidth="9" defaultRowHeight="16.8" outlineLevelRow="4"/>
  <cols>
    <col min="7" max="7" width="12.6875"/>
    <col min="8" max="8" width="9.5"/>
    <col min="9" max="9" width="12.6875"/>
  </cols>
  <sheetData>
    <row r="1" spans="1:5">
      <c r="A1" t="s">
        <v>27</v>
      </c>
      <c r="B1" t="s">
        <v>62</v>
      </c>
      <c r="C1" t="s">
        <v>63</v>
      </c>
      <c r="D1" t="s">
        <v>64</v>
      </c>
      <c r="E1" t="s">
        <v>65</v>
      </c>
    </row>
    <row r="2" spans="1:9">
      <c r="A2">
        <v>10</v>
      </c>
      <c r="B2">
        <f>2*3.14*A2</f>
        <v>62.8</v>
      </c>
      <c r="C2">
        <v>100</v>
      </c>
      <c r="D2">
        <v>29</v>
      </c>
      <c r="E2">
        <v>2.7</v>
      </c>
      <c r="G2" s="1">
        <f>1+(B2*((D2*POWER(10,-6))/(C2/2))*2*(E2*POWER(10,-9)))+POWER(B2,2)</f>
        <v>3944.84</v>
      </c>
      <c r="H2" s="1">
        <f>1/G2</f>
        <v>0.000253495705782744</v>
      </c>
      <c r="I2">
        <f>1/SQRT((1-B2^2*D2*2*E2)^2+(B2*(D2/(C2/2))*2*E2)^2)</f>
        <v>1.61915951369643e-6</v>
      </c>
    </row>
    <row r="3" spans="1:8">
      <c r="A3">
        <v>100</v>
      </c>
      <c r="B3">
        <f>2*3.14*A3</f>
        <v>628</v>
      </c>
      <c r="C3">
        <v>100</v>
      </c>
      <c r="D3">
        <v>29</v>
      </c>
      <c r="E3">
        <v>2.7</v>
      </c>
      <c r="G3" s="1">
        <f>1+(B3*((D3*POWER(10,-6))/(C3/2))*2*(E3*POWER(10,-9)))+POWER(B3,2)</f>
        <v>394385</v>
      </c>
      <c r="H3" s="1">
        <f>1/G3</f>
        <v>2.53559339224362e-6</v>
      </c>
    </row>
    <row r="4" spans="1:8">
      <c r="A4">
        <v>1000</v>
      </c>
      <c r="B4">
        <f>2*3.14*A4</f>
        <v>6280</v>
      </c>
      <c r="C4">
        <v>100</v>
      </c>
      <c r="D4">
        <v>29</v>
      </c>
      <c r="E4">
        <v>2.7</v>
      </c>
      <c r="G4" s="1">
        <f>1+(B4*((D4*POWER(10,-6))/(C4/2))*2*(E4*POWER(10,-9)))+POWER(B4,2)</f>
        <v>39438401</v>
      </c>
      <c r="H4" s="1">
        <f>1/G4</f>
        <v>2.53559975720111e-8</v>
      </c>
    </row>
    <row r="5" spans="1:8">
      <c r="A5">
        <v>10000</v>
      </c>
      <c r="B5">
        <f>2*3.14*A5</f>
        <v>62800</v>
      </c>
      <c r="C5">
        <v>100</v>
      </c>
      <c r="D5">
        <v>29</v>
      </c>
      <c r="E5">
        <v>2.7</v>
      </c>
      <c r="G5" s="1">
        <f>1+(B5*((D5*POWER(10,-6))/(C5/2))*2*(E5*POWER(10,-9)))+POWER(B5,2)</f>
        <v>3943840001</v>
      </c>
      <c r="H5" s="1">
        <f>1/G5</f>
        <v>2.53559982085085e-10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ETD</vt:lpstr>
      <vt:lpstr>Toroid</vt:lpstr>
      <vt:lpstr>Sheet3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MM</cp:lastModifiedBy>
  <dcterms:created xsi:type="dcterms:W3CDTF">2025-07-08T04:16:00Z</dcterms:created>
  <dcterms:modified xsi:type="dcterms:W3CDTF">2025-07-31T15:03:30Z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592519C75011201DCD747868619E0F8E_43</vt:lpwstr>
  </property>
  <property fmtid="{D5CDD505-2E9C-101B-9397-08002B2CF9AE}" pid="3" name="KSOProductBuildVer">
    <vt:lpwstr>1033-6.13.1.8709</vt:lpwstr>
  </property>
</Properties>
</file>