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<sst xmlns="http://schemas.openxmlformats.org/spreadsheetml/2006/main" count="169" uniqueCount="86">
  <si>
    <t>Supplier</t>
  </si>
  <si>
    <t>: JayaTronik Smg</t>
  </si>
  <si>
    <t>#</t>
  </si>
  <si>
    <t>Nama</t>
  </si>
  <si>
    <t>Item</t>
  </si>
  <si>
    <t>Qty</t>
  </si>
  <si>
    <t>Harga Satuan (Rp)</t>
  </si>
  <si>
    <t>Harga Total (Rp)</t>
  </si>
  <si>
    <t>https://github.com/mekanii/ESU/invitations</t>
  </si>
  <si>
    <t>Socket IC 14 Pin - Socket 14 Pin</t>
  </si>
  <si>
    <t>Socket IC 14 Pin</t>
  </si>
  <si>
    <t>CD4071BE CD4071 IC 4071 PDIP-14</t>
  </si>
  <si>
    <t>CD4071BCM CD4071 SMD IC 4071</t>
  </si>
  <si>
    <t>4071 SMD</t>
  </si>
  <si>
    <t>PCB IC Titik-Matrix TW 19.5 x 9 cm</t>
  </si>
  <si>
    <t>PCB Matrix TW 19.5 x 9 cm</t>
  </si>
  <si>
    <t>Sub Total</t>
  </si>
  <si>
    <t>Biaya Kirim</t>
  </si>
  <si>
    <t>Total</t>
  </si>
  <si>
    <t>: Central Electronics</t>
  </si>
  <si>
    <t>RELAY G5V-1 5VDC</t>
  </si>
  <si>
    <t>: mitrus</t>
  </si>
  <si>
    <t>KAWAT TEMBAGA EMAIL 0.20 MM ENAMEL WIRE COOPER GULUNG DINAMO ILMAIL</t>
  </si>
  <si>
    <t>Enameled Copper Wire 0.2mm</t>
  </si>
  <si>
    <t>: Putra Niaga Elektronik</t>
  </si>
  <si>
    <t>Tantalum SMD 22uF 10V Kapasitor 22 uF kode 226 dimensi 3528</t>
  </si>
  <si>
    <t>Capacitor Tantalum 22µF 10V 3528</t>
  </si>
  <si>
    <t>Push on 4p mini PCB / Tact switch Tombol Reset 4pin tinggi 4,3mm</t>
  </si>
  <si>
    <t>Tactile switch 6x6 H 4.3 mm</t>
  </si>
  <si>
    <t>PC817 Optocoupler PC 817 Dip 4pin PC817-1 High Quality</t>
  </si>
  <si>
    <t>Optocoupler PC817</t>
  </si>
  <si>
    <t>(1 Set) Konektor Header 5 Pin 3.96mm Lock 5p 3.96 mm Male Female 5pin</t>
  </si>
  <si>
    <t>(1 Set) Connector JST 5P Pitch 3.96 mm</t>
  </si>
  <si>
    <t>(1 Set) Konektor Header 3 Pin 3.96mm Lock 3p 3.96 mm Male Female 3pin</t>
  </si>
  <si>
    <t>(1 Set) Connector JST 3P Pitch 3.96 mm</t>
  </si>
  <si>
    <t>(1 Set) Konektor Header 2 Pin 3.96mm Lock 2p 3.96 mm Male Female 2pin</t>
  </si>
  <si>
    <t>(1 Set) Connector JST 2P Pitch 3.96 mm</t>
  </si>
  <si>
    <t>Header Male Baris 1x40 Pin 2.54mm 1 x 40 FCP 1x40p Hitam</t>
  </si>
  <si>
    <t>Header Male 1x40 Pitch 2.54 mm</t>
  </si>
  <si>
    <t>Header Male Baris 2x40 Pin 2.54mm 2 x 40 FCP 2x40p Hitam</t>
  </si>
  <si>
    <t>Header Male 2x40 Pitch 2.54 mm</t>
  </si>
  <si>
    <t>Header Male Siku 2x40 L 2.54mm 2 x 40 FCP Baris 2x40p Belok R/A</t>
  </si>
  <si>
    <t>Header Male 2x40 Pitch 2.54 mm Right Angle</t>
  </si>
  <si>
    <t>Header Female Baris 2x40 Pin 2.54mm 2 x 20 FCP 2x40p Hitam</t>
  </si>
  <si>
    <t>Header Female 2x40 Pitch 2.54 mm</t>
  </si>
  <si>
    <t>Header Female 2x20 Pin Kaki Panjang pitch 2.54mm 20x2 Double Row Long Pin 2x20p</t>
  </si>
  <si>
    <t>Header Female 2x20 Pitch 2.54 mm Long Pin</t>
  </si>
  <si>
    <t>: Lisu Instruments</t>
  </si>
  <si>
    <t>SS36B 60V 3A Schottky Barrier Rectifier SS36 SMB CTK Electronics</t>
  </si>
  <si>
    <t>Schottky SS36 SMB</t>
  </si>
  <si>
    <t>BCX56 NPN 80V 1A 500mW hfe=100~250 Transistor BJT SOT-89-3 CJ Original</t>
  </si>
  <si>
    <t>Transistor BCX56 SOT-89-3</t>
  </si>
  <si>
    <t>1206 SMD LED SMT Ultra Bright Berbagai Pilihan Warna</t>
  </si>
  <si>
    <t>LED 1206</t>
  </si>
  <si>
    <t>SS36A 60V 3A Schottky Diode SMA DO-214AC SS36 Hottech ORIGINAL</t>
  </si>
  <si>
    <t>Schottky SS36 SMA</t>
  </si>
  <si>
    <t>1uF ±10% 50V X7R 1206 3216(mm) SMD Capacitors MLCC Samsung</t>
  </si>
  <si>
    <t>Capacitor MLCC 1uF 50V X7R 1206</t>
  </si>
  <si>
    <t>100nF 50V X7R ±10% 1206 3216(mm) SMD Ceramic Capacitor CL31B104KBCNNNC</t>
  </si>
  <si>
    <t>Capacitor MLCC 100nF 50V X7R 1206</t>
  </si>
  <si>
    <t>0Ω 1206 ±5% SMD Thick Resistor 0R 0 Walsin WR12X000PTL</t>
  </si>
  <si>
    <t>Resistor 0Ω 1206</t>
  </si>
  <si>
    <r>
      <rPr>
        <sz val="10"/>
        <color theme="1"/>
        <rFont val="PT Mono Regular"/>
        <charset val="134"/>
      </rPr>
      <t>5.1kΩ  1206 ±1% 250mW 200V  ±100ppm/</t>
    </r>
    <r>
      <rPr>
        <sz val="10"/>
        <color theme="1"/>
        <rFont val="Calibri"/>
        <charset val="134"/>
      </rPr>
      <t>℃</t>
    </r>
    <r>
      <rPr>
        <sz val="10"/>
        <color theme="1"/>
        <rFont val="PT Mono Regular"/>
        <charset val="134"/>
      </rPr>
      <t xml:space="preserve"> Thick Film Resistors 5.1K 5K1 5101 RC1206FR-075K1L YAGEO</t>
    </r>
  </si>
  <si>
    <t>Resistor 5.1kΩ  1206</t>
  </si>
  <si>
    <r>
      <rPr>
        <sz val="10"/>
        <color theme="1"/>
        <rFont val="PT Mono Regular"/>
        <charset val="134"/>
      </rPr>
      <t>10kΩ  1206 ±1% 250mW 200V  ±100ppm/</t>
    </r>
    <r>
      <rPr>
        <sz val="10"/>
        <color theme="1"/>
        <rFont val="Calibri"/>
        <charset val="134"/>
      </rPr>
      <t>℃</t>
    </r>
    <r>
      <rPr>
        <sz val="10"/>
        <color theme="1"/>
        <rFont val="PT Mono Regular"/>
        <charset val="134"/>
      </rPr>
      <t xml:space="preserve"> Thick Film Resistors 10k 10 1002 RC1206FR-0710KL YAGEO</t>
    </r>
  </si>
  <si>
    <t>Resistor 10kΩ  1206</t>
  </si>
  <si>
    <t>: StarElektro_NEW</t>
  </si>
  <si>
    <t>LM2576S LM2576HVS ADJ 3.3 5.0 12 IC Regulator Switching SMD To-263-5</t>
  </si>
  <si>
    <t>LM2576S-12 TO-263-5</t>
  </si>
  <si>
    <t>LM2576S-5 TO-263-5</t>
  </si>
  <si>
    <t>LM2576S-3.3 TO-263-5</t>
  </si>
  <si>
    <t>: Dns Electronic</t>
  </si>
  <si>
    <t>WIMA 2n2 630V MKP10</t>
  </si>
  <si>
    <t>Capacitor 2n2 630V MKP10</t>
  </si>
  <si>
    <t>WIMA 3n3 630V MKP10</t>
  </si>
  <si>
    <t>Capacitor 3n3 630V MKP10</t>
  </si>
  <si>
    <t>WIMA 4n7 630V MKP10</t>
  </si>
  <si>
    <t>Capacitor 4n7 630V MKP10</t>
  </si>
  <si>
    <t>: SIKIL GANGSAL</t>
  </si>
  <si>
    <t>Solid kapasitor capasitor elko elco SMD 100uf 50v 10x10 High quality</t>
  </si>
  <si>
    <t>Solid Capacitor 100µf 50v 10x10</t>
  </si>
  <si>
    <t>Solid kapasitor capasitor elko elco SMD 680uf 35v 680uf VZS size 10x10</t>
  </si>
  <si>
    <t>Solid Capacitor 680uf 35v 10x10</t>
  </si>
  <si>
    <t>: Cha's Instrument</t>
  </si>
  <si>
    <t>ESP32 S3 WROOM ESP32-S3-WROOM-1U Chip Module 8MB PSRAM</t>
  </si>
  <si>
    <t>ESP32-S3-WROOM-1U N16R8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</si>
</sst>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4">
    <font>
      <sz val="11"/>
      <color theme="1"/>
      <name val="Calibri"/>
      <charset val="134"/>
      <scheme val="minor"/>
    </font>
    <font>
      <sz val="10"/>
      <color theme="1"/>
      <name val="PT Mono Regular"/>
      <charset val="134"/>
    </font>
    <font>
      <b/>
      <sz val="10"/>
      <color theme="1"/>
      <name val="PT Mono Regular"/>
      <charset val="134"/>
    </font>
    <font>
      <sz val="10"/>
      <color theme="1"/>
      <name val="PT Mono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78" fontId="1" fillId="2" borderId="1" xfId="1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2" fillId="2" borderId="4" xfId="0" applyFont="1" applyFill="1" applyBorder="1" applyAlignment="1">
      <alignment horizontal="right" vertical="center"/>
    </xf>
    <xf numFmtId="178" fontId="2" fillId="2" borderId="1" xfId="1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kopedia.com/mitrus-539/kawat-tembaga-email-0-20-mm-enamel-wire-cooper-gulung-dinamo-ilmail-1" TargetMode="External"/><Relationship Id="rId8" Type="http://schemas.openxmlformats.org/officeDocument/2006/relationships/hyperlink" Target="https://www.tokopedia.com/mitrus-539" TargetMode="External"/><Relationship Id="rId7" Type="http://schemas.openxmlformats.org/officeDocument/2006/relationships/hyperlink" Target="https://www.tokopedia.com/celectro/relay-g5v-1-5vdc" TargetMode="External"/><Relationship Id="rId6" Type="http://schemas.openxmlformats.org/officeDocument/2006/relationships/hyperlink" Target="https://www.tokopedia.com/celectro" TargetMode="External"/><Relationship Id="rId5" Type="http://schemas.openxmlformats.org/officeDocument/2006/relationships/hyperlink" Target="https://www.tokopedia.com/smgjayatronik" TargetMode="External"/><Relationship Id="rId43" Type="http://schemas.openxmlformats.org/officeDocument/2006/relationships/hyperlink" Target="https://www.tokopedia.com/the-diy-store" TargetMode="External"/><Relationship Id="rId42" Type="http://schemas.openxmlformats.org/officeDocument/2006/relationships/hyperlink" Target="https://www.tokopedia.com/the-diy-store/esp32-s3-wroom-esp32-s3-wroom-1u-chip-module-8mb-psram-n16r8-16mb" TargetMode="External"/><Relationship Id="rId41" Type="http://schemas.openxmlformats.org/officeDocument/2006/relationships/hyperlink" Target="https://www.tokopedia.com/jayenk/solid-kapasitor-capasitor-elko-elco-smd-680uf-35v-680uf-vzs-size-10x10" TargetMode="External"/><Relationship Id="rId40" Type="http://schemas.openxmlformats.org/officeDocument/2006/relationships/hyperlink" Target="https://www.tokopedia.com/jayenk/solid-kapasitor-capasitor-elko-elco-smd-100uf-50v-10x10-high-quality" TargetMode="External"/><Relationship Id="rId4" Type="http://schemas.openxmlformats.org/officeDocument/2006/relationships/hyperlink" Target="https://www.tokopedia.com/smgjayatronik/cd4071bcm-cd4071-smd-ic-4071" TargetMode="External"/><Relationship Id="rId39" Type="http://schemas.openxmlformats.org/officeDocument/2006/relationships/hyperlink" Target="https://www.tokopedia.com/dnselectronic/wima-4n7-630v-mkp10" TargetMode="External"/><Relationship Id="rId38" Type="http://schemas.openxmlformats.org/officeDocument/2006/relationships/hyperlink" Target="https://www.tokopedia.com/dnselectronic/wima-3n3-630v-mkp10" TargetMode="External"/><Relationship Id="rId37" Type="http://schemas.openxmlformats.org/officeDocument/2006/relationships/hyperlink" Target="https://www.tokopedia.com/dnselectronic/wima-2n2-630v-mkp10" TargetMode="External"/><Relationship Id="rId36" Type="http://schemas.openxmlformats.org/officeDocument/2006/relationships/hyperlink" Target="https://www.tokopedia.com/dnselectronic" TargetMode="External"/><Relationship Id="rId35" Type="http://schemas.openxmlformats.org/officeDocument/2006/relationships/hyperlink" Target="https://www.tokopedia.com/starelektro-1" TargetMode="External"/><Relationship Id="rId34" Type="http://schemas.openxmlformats.org/officeDocument/2006/relationships/hyperlink" Target="https://www.tokopedia.com/starelektro-1/lm2576s-lm2576hvs-adj-3-3-5-0-12-ic-regulator-switching-smd-to-263-5-4pcs-3-3volt-406d1" TargetMode="External"/><Relationship Id="rId33" Type="http://schemas.openxmlformats.org/officeDocument/2006/relationships/hyperlink" Target="https://www.tokopedia.com/starelektro-1/lm2576s-lm2576hvs-adj-3-3-5-0-12-ic-regulator-switching-smd-to-263-5-4pcs-5volt-61057" TargetMode="External"/><Relationship Id="rId32" Type="http://schemas.openxmlformats.org/officeDocument/2006/relationships/hyperlink" Target="https://www.tokopedia.com/starelektro-1/lm2576s-lm2576hvs-adj-3-3-5-0-12-ic-regulator-switching-smd-to-263-5-4pcs-12volt-cfe9f" TargetMode="External"/><Relationship Id="rId31" Type="http://schemas.openxmlformats.org/officeDocument/2006/relationships/hyperlink" Target="https://www.tokopedia.com/lisuinstrument/10k-1206-1-250mw-200v-100ppm-thick-film-resistors-10k-10-1002-rc1206fr-0710kl-yageo" TargetMode="External"/><Relationship Id="rId30" Type="http://schemas.openxmlformats.org/officeDocument/2006/relationships/hyperlink" Target="https://www.tokopedia.com/lisuinstrument/5-1k-1206-1-250mw-200v-100ppm-thick-film-resistors-5-1k-5k1-5101-rc1206fr-075k1l-yageo" TargetMode="External"/><Relationship Id="rId3" Type="http://schemas.openxmlformats.org/officeDocument/2006/relationships/hyperlink" Target="https://www.tokopedia.com/smgjayatronik/pcb-ic-titik-matrix-tw-19-5-x-9-cm" TargetMode="External"/><Relationship Id="rId29" Type="http://schemas.openxmlformats.org/officeDocument/2006/relationships/hyperlink" Target="https://www.tokopedia.com/lisuinstrument/0-1206-5-smd-thick-resistor-0r-0-walsin-wr12x000ptl-1731697760176997861" TargetMode="External"/><Relationship Id="rId28" Type="http://schemas.openxmlformats.org/officeDocument/2006/relationships/hyperlink" Target="https://www.tokopedia.com/lisuinstrument/100nf-50v-x7r-10-1206-3216-mm-smd-ceramic-capacitor-cl31b104kbcnnnc" TargetMode="External"/><Relationship Id="rId27" Type="http://schemas.openxmlformats.org/officeDocument/2006/relationships/hyperlink" Target="https://www.tokopedia.com/lisuinstrument/1uf-10-50v-x7r-1206-3216-mm-smd-capacitors-mlcc-samsung" TargetMode="External"/><Relationship Id="rId26" Type="http://schemas.openxmlformats.org/officeDocument/2006/relationships/hyperlink" Target="https://www.tokopedia.com/lisuinstrument/ss36a-60v-3a-schottky-diode-sma-do-214ac-ss36-hottech-original" TargetMode="External"/><Relationship Id="rId25" Type="http://schemas.openxmlformats.org/officeDocument/2006/relationships/hyperlink" Target="https://www.tokopedia.com/lisuinstrument/1206-smd-led-smt-ultra-bright-berbagai-pilihan-warna-merah" TargetMode="External"/><Relationship Id="rId24" Type="http://schemas.openxmlformats.org/officeDocument/2006/relationships/hyperlink" Target="https://www.tokopedia.com/lisuinstrument/bcx56-npn-80v-1a-500mw-hfe-100-250-transistor-bjt-sot-89-3-cj-original" TargetMode="External"/><Relationship Id="rId23" Type="http://schemas.openxmlformats.org/officeDocument/2006/relationships/hyperlink" Target="https://www.tokopedia.com/lisuinstrument/ss36b-60v-3a-schottky-barrier-rectifier-ss36-smb-ctk-electronics" TargetMode="External"/><Relationship Id="rId22" Type="http://schemas.openxmlformats.org/officeDocument/2006/relationships/hyperlink" Target="https://www.tokopedia.com/lisuinstrument" TargetMode="External"/><Relationship Id="rId21" Type="http://schemas.openxmlformats.org/officeDocument/2006/relationships/hyperlink" Target="https://www.tokopedia.com/putraniagabdg/tantalum-smd-22uf-10v-kapasitor-22-uf-kode-226-dimensi-3528" TargetMode="External"/><Relationship Id="rId20" Type="http://schemas.openxmlformats.org/officeDocument/2006/relationships/hyperlink" Target="https://www.tokopedia.com/putraniagabdg/1-set-konektor-header-3-pin-3-96mm-lock-3p-3-96-mm-male-female-3pin" TargetMode="External"/><Relationship Id="rId2" Type="http://schemas.openxmlformats.org/officeDocument/2006/relationships/hyperlink" Target="https://www.tokopedia.com/smgjayatronik/cd4071be-cd4071-ic-4071-pdip-14-1729801493127333767" TargetMode="External"/><Relationship Id="rId19" Type="http://schemas.openxmlformats.org/officeDocument/2006/relationships/hyperlink" Target="https://www.tokopedia.com/putraniagabdg/1-set-konektor-header-2-pin-3-96mm-lock-2p-3-96-mm-male-female-2pin" TargetMode="External"/><Relationship Id="rId18" Type="http://schemas.openxmlformats.org/officeDocument/2006/relationships/hyperlink" Target="https://www.tokopedia.com/putraniagabdg/1-set-konektor-header-5-pin-3-96mm-lock-5p-3-96-mm-male-female-5pin-1729814123560600872" TargetMode="External"/><Relationship Id="rId17" Type="http://schemas.openxmlformats.org/officeDocument/2006/relationships/hyperlink" Target="https://www.tokopedia.com/putraniagabdg/header-male-baris-1x40-pin-2-54mm-1-x-40-fcp-1x40p-hitam-1729809669501388072" TargetMode="External"/><Relationship Id="rId16" Type="http://schemas.openxmlformats.org/officeDocument/2006/relationships/hyperlink" Target="https://www.tokopedia.com/putraniagabdg/header-male-siku-2x40-l-2-54mm-2-x-40-fcp-baris-2x40p-belok-r-a-1729824156178613544" TargetMode="External"/><Relationship Id="rId15" Type="http://schemas.openxmlformats.org/officeDocument/2006/relationships/hyperlink" Target="https://www.tokopedia.com/putraniagabdg/header-male-baris-2x40-pin-2-54mm-2-x-40-fcp-2x40p-hitam" TargetMode="External"/><Relationship Id="rId14" Type="http://schemas.openxmlformats.org/officeDocument/2006/relationships/hyperlink" Target="https://www.tokopedia.com/putraniagabdg/header-female-baris-2x40-pin-2-54mm-2-x-20-fcp-2x40p-hitam" TargetMode="External"/><Relationship Id="rId13" Type="http://schemas.openxmlformats.org/officeDocument/2006/relationships/hyperlink" Target="https://www.tokopedia.com/putraniagabdg/pc817-optocoupler-pc-817-dip-4pin-pc817-1-high-quality" TargetMode="External"/><Relationship Id="rId12" Type="http://schemas.openxmlformats.org/officeDocument/2006/relationships/hyperlink" Target="https://www.tokopedia.com/putraniagabdg/push-on-4p-mini-pcb-tact-switch-tombol-reset-4pin-tinggi-4-3mm" TargetMode="External"/><Relationship Id="rId11" Type="http://schemas.openxmlformats.org/officeDocument/2006/relationships/hyperlink" Target="https://www.tokopedia.com/putraniagabdg/header-female-2x20-pin-kaki-panjang-pitch-2-54mm-20x2-double-row-long-pin-2x20p" TargetMode="External"/><Relationship Id="rId10" Type="http://schemas.openxmlformats.org/officeDocument/2006/relationships/hyperlink" Target="https://www.tokopedia.com/putraniagabdg" TargetMode="External"/><Relationship Id="rId1" Type="http://schemas.openxmlformats.org/officeDocument/2006/relationships/hyperlink" Target="https://www.tokopedia.com/smgjayatronik/socket-ic-14-pin-socket-14-p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89"/>
  <sheetViews>
    <sheetView tabSelected="1" workbookViewId="0">
      <selection activeCell="K14" sqref="K14"/>
    </sheetView>
  </sheetViews>
  <sheetFormatPr defaultColWidth="9" defaultRowHeight="18" customHeight="1"/>
  <cols>
    <col min="1" max="1" width="3.5625" style="1" customWidth="1"/>
    <col min="2" max="2" width="9" style="1"/>
    <col min="3" max="3" width="50.5625" style="1" hidden="1" customWidth="1"/>
    <col min="4" max="4" width="40.5625" style="1" customWidth="1"/>
    <col min="5" max="5" width="6.5625" style="1" customWidth="1"/>
    <col min="6" max="7" width="18.5625" style="1" customWidth="1"/>
    <col min="8" max="8" width="20.1875" style="1" customWidth="1"/>
    <col min="9" max="16384" width="9" style="1"/>
  </cols>
  <sheetData>
    <row r="2" customHeight="1" spans="2:4">
      <c r="B2" s="2" t="s">
        <v>0</v>
      </c>
      <c r="D2" s="3" t="s">
        <v>1</v>
      </c>
    </row>
    <row r="3" customHeight="1" spans="2:9"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I3" s="1" t="s">
        <v>8</v>
      </c>
    </row>
    <row r="4" customHeight="1" spans="2:7">
      <c r="B4" s="6">
        <v>1</v>
      </c>
      <c r="C4" s="7" t="s">
        <v>9</v>
      </c>
      <c r="D4" s="8" t="s">
        <v>10</v>
      </c>
      <c r="E4" s="6">
        <v>1</v>
      </c>
      <c r="F4" s="6">
        <v>660</v>
      </c>
      <c r="G4" s="6">
        <f t="shared" ref="G4:G7" si="0">E4*F4</f>
        <v>660</v>
      </c>
    </row>
    <row r="5" customHeight="1" spans="2:7">
      <c r="B5" s="6">
        <v>2</v>
      </c>
      <c r="C5" s="7" t="s">
        <v>11</v>
      </c>
      <c r="D5" s="8">
        <v>4071</v>
      </c>
      <c r="E5" s="6">
        <v>1</v>
      </c>
      <c r="F5" s="6">
        <v>7700</v>
      </c>
      <c r="G5" s="6">
        <f t="shared" si="0"/>
        <v>7700</v>
      </c>
    </row>
    <row r="6" customHeight="1" spans="2:7">
      <c r="B6" s="6">
        <v>3</v>
      </c>
      <c r="C6" s="7" t="s">
        <v>12</v>
      </c>
      <c r="D6" s="8" t="s">
        <v>13</v>
      </c>
      <c r="E6" s="6">
        <v>2</v>
      </c>
      <c r="F6" s="6">
        <v>11000</v>
      </c>
      <c r="G6" s="6">
        <f t="shared" si="0"/>
        <v>22000</v>
      </c>
    </row>
    <row r="7" customHeight="1" spans="2:7">
      <c r="B7" s="6">
        <v>4</v>
      </c>
      <c r="C7" s="7" t="s">
        <v>14</v>
      </c>
      <c r="D7" s="8" t="s">
        <v>15</v>
      </c>
      <c r="E7" s="6">
        <v>2</v>
      </c>
      <c r="F7" s="6">
        <v>7700</v>
      </c>
      <c r="G7" s="6">
        <f t="shared" si="0"/>
        <v>15400</v>
      </c>
    </row>
    <row r="8" customHeight="1" spans="2:7">
      <c r="B8" s="9"/>
      <c r="C8" s="10"/>
      <c r="D8" s="10"/>
      <c r="E8" s="10"/>
      <c r="F8" s="16" t="s">
        <v>16</v>
      </c>
      <c r="G8" s="17">
        <f>SUM(G4:G7)</f>
        <v>45760</v>
      </c>
    </row>
    <row r="9" customHeight="1" spans="2:7">
      <c r="B9" s="9"/>
      <c r="C9" s="10"/>
      <c r="D9" s="10"/>
      <c r="E9" s="10"/>
      <c r="F9" s="16" t="s">
        <v>17</v>
      </c>
      <c r="G9" s="17">
        <v>5000</v>
      </c>
    </row>
    <row r="10" customHeight="1" spans="2:7">
      <c r="B10" s="9"/>
      <c r="C10" s="10"/>
      <c r="D10" s="10"/>
      <c r="E10" s="10"/>
      <c r="F10" s="16" t="s">
        <v>18</v>
      </c>
      <c r="G10" s="17">
        <f>G8+G9</f>
        <v>50760</v>
      </c>
    </row>
    <row r="12" customHeight="1" spans="2:4">
      <c r="B12" s="2" t="s">
        <v>0</v>
      </c>
      <c r="D12" s="3" t="s">
        <v>19</v>
      </c>
    </row>
    <row r="13" customHeight="1" spans="2:7">
      <c r="B13" s="4" t="s">
        <v>2</v>
      </c>
      <c r="C13" s="5" t="s">
        <v>3</v>
      </c>
      <c r="D13" s="5" t="s">
        <v>4</v>
      </c>
      <c r="E13" s="4" t="s">
        <v>5</v>
      </c>
      <c r="F13" s="4" t="s">
        <v>6</v>
      </c>
      <c r="G13" s="4" t="s">
        <v>7</v>
      </c>
    </row>
    <row r="14" customHeight="1" spans="2:7">
      <c r="B14" s="6">
        <v>1</v>
      </c>
      <c r="C14" s="7" t="s">
        <v>20</v>
      </c>
      <c r="D14" s="7" t="s">
        <v>20</v>
      </c>
      <c r="E14" s="6">
        <v>4</v>
      </c>
      <c r="F14" s="6">
        <v>12900</v>
      </c>
      <c r="G14" s="6">
        <f>E14*F14</f>
        <v>51600</v>
      </c>
    </row>
    <row r="15" customHeight="1" spans="2:7">
      <c r="B15" s="9"/>
      <c r="C15" s="10"/>
      <c r="D15" s="10"/>
      <c r="E15" s="10"/>
      <c r="F15" s="16" t="s">
        <v>16</v>
      </c>
      <c r="G15" s="17">
        <f>SUM(G14)</f>
        <v>51600</v>
      </c>
    </row>
    <row r="16" customHeight="1" spans="2:7">
      <c r="B16" s="9"/>
      <c r="C16" s="10"/>
      <c r="D16" s="10"/>
      <c r="E16" s="10"/>
      <c r="F16" s="16" t="s">
        <v>17</v>
      </c>
      <c r="G16" s="17">
        <v>17000</v>
      </c>
    </row>
    <row r="17" customHeight="1" spans="2:7">
      <c r="B17" s="9"/>
      <c r="C17" s="10"/>
      <c r="D17" s="10"/>
      <c r="E17" s="10"/>
      <c r="F17" s="16" t="s">
        <v>18</v>
      </c>
      <c r="G17" s="17">
        <f>G15+G16</f>
        <v>68600</v>
      </c>
    </row>
    <row r="19" customHeight="1" spans="2:4">
      <c r="B19" s="2" t="s">
        <v>0</v>
      </c>
      <c r="D19" s="11" t="s">
        <v>21</v>
      </c>
    </row>
    <row r="20" customHeight="1" spans="2:7">
      <c r="B20" s="4" t="s">
        <v>2</v>
      </c>
      <c r="C20" s="5" t="s">
        <v>3</v>
      </c>
      <c r="D20" s="5" t="s">
        <v>4</v>
      </c>
      <c r="E20" s="4" t="s">
        <v>5</v>
      </c>
      <c r="F20" s="4" t="s">
        <v>6</v>
      </c>
      <c r="G20" s="4" t="s">
        <v>7</v>
      </c>
    </row>
    <row r="21" customHeight="1" spans="2:7">
      <c r="B21" s="6">
        <v>1</v>
      </c>
      <c r="C21" s="12" t="s">
        <v>22</v>
      </c>
      <c r="D21" s="7" t="s">
        <v>23</v>
      </c>
      <c r="E21" s="6">
        <v>5</v>
      </c>
      <c r="F21" s="6">
        <v>26500</v>
      </c>
      <c r="G21" s="6">
        <f>E21*F21</f>
        <v>132500</v>
      </c>
    </row>
    <row r="22" customHeight="1" spans="2:7">
      <c r="B22" s="9"/>
      <c r="C22" s="10"/>
      <c r="D22" s="10"/>
      <c r="E22" s="10"/>
      <c r="F22" s="16" t="s">
        <v>16</v>
      </c>
      <c r="G22" s="17">
        <f>SUM(G21)</f>
        <v>132500</v>
      </c>
    </row>
    <row r="23" customHeight="1" spans="2:7">
      <c r="B23" s="9"/>
      <c r="C23" s="10"/>
      <c r="D23" s="10"/>
      <c r="E23" s="10"/>
      <c r="F23" s="16" t="s">
        <v>17</v>
      </c>
      <c r="G23" s="17">
        <v>14200</v>
      </c>
    </row>
    <row r="24" customHeight="1" spans="2:7">
      <c r="B24" s="9"/>
      <c r="C24" s="10"/>
      <c r="D24" s="10"/>
      <c r="E24" s="10"/>
      <c r="F24" s="16" t="s">
        <v>18</v>
      </c>
      <c r="G24" s="17">
        <f>G22+G23</f>
        <v>146700</v>
      </c>
    </row>
    <row r="26" customHeight="1" spans="2:4">
      <c r="B26" s="3" t="s">
        <v>0</v>
      </c>
      <c r="D26" s="11" t="s">
        <v>24</v>
      </c>
    </row>
    <row r="27" customHeight="1" spans="2:7">
      <c r="B27" s="13" t="s">
        <v>2</v>
      </c>
      <c r="C27" s="14" t="s">
        <v>3</v>
      </c>
      <c r="D27" s="5" t="s">
        <v>4</v>
      </c>
      <c r="E27" s="4" t="s">
        <v>5</v>
      </c>
      <c r="F27" s="4" t="s">
        <v>6</v>
      </c>
      <c r="G27" s="4" t="s">
        <v>7</v>
      </c>
    </row>
    <row r="28" customHeight="1" spans="2:7">
      <c r="B28" s="6">
        <v>1</v>
      </c>
      <c r="C28" s="15" t="s">
        <v>25</v>
      </c>
      <c r="D28" s="15" t="s">
        <v>26</v>
      </c>
      <c r="E28" s="6">
        <v>4</v>
      </c>
      <c r="F28" s="6">
        <v>2500</v>
      </c>
      <c r="G28" s="6">
        <f t="shared" ref="G28:G38" si="1">E28*F28</f>
        <v>10000</v>
      </c>
    </row>
    <row r="29" customHeight="1" spans="2:7">
      <c r="B29" s="6">
        <v>2</v>
      </c>
      <c r="C29" s="15" t="s">
        <v>27</v>
      </c>
      <c r="D29" s="15" t="s">
        <v>28</v>
      </c>
      <c r="E29" s="6">
        <v>4</v>
      </c>
      <c r="F29" s="6">
        <v>500</v>
      </c>
      <c r="G29" s="6">
        <f t="shared" si="1"/>
        <v>2000</v>
      </c>
    </row>
    <row r="30" customHeight="1" spans="2:7">
      <c r="B30" s="6">
        <v>3</v>
      </c>
      <c r="C30" s="15" t="s">
        <v>29</v>
      </c>
      <c r="D30" s="15" t="s">
        <v>30</v>
      </c>
      <c r="E30" s="6">
        <v>10</v>
      </c>
      <c r="F30" s="6">
        <v>1500</v>
      </c>
      <c r="G30" s="6">
        <f t="shared" si="1"/>
        <v>15000</v>
      </c>
    </row>
    <row r="31" customHeight="1" spans="2:7">
      <c r="B31" s="6">
        <v>4</v>
      </c>
      <c r="C31" s="15" t="s">
        <v>31</v>
      </c>
      <c r="D31" s="15" t="s">
        <v>32</v>
      </c>
      <c r="E31" s="6">
        <v>6</v>
      </c>
      <c r="F31" s="6">
        <v>7250</v>
      </c>
      <c r="G31" s="6">
        <f t="shared" si="1"/>
        <v>43500</v>
      </c>
    </row>
    <row r="32" customHeight="1" spans="2:7">
      <c r="B32" s="6">
        <v>5</v>
      </c>
      <c r="C32" s="15" t="s">
        <v>33</v>
      </c>
      <c r="D32" s="15" t="s">
        <v>34</v>
      </c>
      <c r="E32" s="6">
        <v>7</v>
      </c>
      <c r="F32" s="6">
        <v>4500</v>
      </c>
      <c r="G32" s="6">
        <f t="shared" si="1"/>
        <v>31500</v>
      </c>
    </row>
    <row r="33" customHeight="1" spans="2:7">
      <c r="B33" s="6">
        <v>6</v>
      </c>
      <c r="C33" s="15" t="s">
        <v>35</v>
      </c>
      <c r="D33" s="15" t="s">
        <v>36</v>
      </c>
      <c r="E33" s="6">
        <v>1</v>
      </c>
      <c r="F33" s="6">
        <v>3000</v>
      </c>
      <c r="G33" s="6">
        <f t="shared" si="1"/>
        <v>3000</v>
      </c>
    </row>
    <row r="34" customHeight="1" spans="2:7">
      <c r="B34" s="6">
        <v>7</v>
      </c>
      <c r="C34" s="15" t="s">
        <v>37</v>
      </c>
      <c r="D34" s="15" t="s">
        <v>38</v>
      </c>
      <c r="E34" s="6">
        <v>1</v>
      </c>
      <c r="F34" s="6">
        <v>1000</v>
      </c>
      <c r="G34" s="6">
        <f t="shared" si="1"/>
        <v>1000</v>
      </c>
    </row>
    <row r="35" customHeight="1" spans="2:7">
      <c r="B35" s="6">
        <v>8</v>
      </c>
      <c r="C35" s="15" t="s">
        <v>39</v>
      </c>
      <c r="D35" s="15" t="s">
        <v>40</v>
      </c>
      <c r="E35" s="6">
        <v>1</v>
      </c>
      <c r="F35" s="6">
        <v>2000</v>
      </c>
      <c r="G35" s="6">
        <f t="shared" si="1"/>
        <v>2000</v>
      </c>
    </row>
    <row r="36" customHeight="1" spans="2:7">
      <c r="B36" s="6">
        <v>9</v>
      </c>
      <c r="C36" s="15" t="s">
        <v>41</v>
      </c>
      <c r="D36" s="15" t="s">
        <v>42</v>
      </c>
      <c r="E36" s="6">
        <v>1</v>
      </c>
      <c r="F36" s="6">
        <v>3000</v>
      </c>
      <c r="G36" s="6">
        <f t="shared" si="1"/>
        <v>3000</v>
      </c>
    </row>
    <row r="37" customHeight="1" spans="2:7">
      <c r="B37" s="6">
        <v>10</v>
      </c>
      <c r="C37" s="15" t="s">
        <v>43</v>
      </c>
      <c r="D37" s="15" t="s">
        <v>44</v>
      </c>
      <c r="E37" s="6">
        <v>1</v>
      </c>
      <c r="F37" s="6">
        <v>5000</v>
      </c>
      <c r="G37" s="6">
        <f t="shared" si="1"/>
        <v>5000</v>
      </c>
    </row>
    <row r="38" customHeight="1" spans="2:7">
      <c r="B38" s="6">
        <v>11</v>
      </c>
      <c r="C38" s="15" t="s">
        <v>45</v>
      </c>
      <c r="D38" s="15" t="s">
        <v>46</v>
      </c>
      <c r="E38" s="6">
        <v>2</v>
      </c>
      <c r="F38" s="6">
        <v>9500</v>
      </c>
      <c r="G38" s="6">
        <f t="shared" si="1"/>
        <v>19000</v>
      </c>
    </row>
    <row r="39" customHeight="1" spans="2:7">
      <c r="B39" s="9"/>
      <c r="C39" s="10"/>
      <c r="D39" s="10"/>
      <c r="E39" s="10"/>
      <c r="F39" s="16" t="s">
        <v>16</v>
      </c>
      <c r="G39" s="17">
        <f>SUM(G28:G38)</f>
        <v>135000</v>
      </c>
    </row>
    <row r="40" customHeight="1" spans="2:7">
      <c r="B40" s="9"/>
      <c r="C40" s="10"/>
      <c r="D40" s="10"/>
      <c r="E40" s="10"/>
      <c r="F40" s="16" t="s">
        <v>17</v>
      </c>
      <c r="G40" s="17">
        <v>17000</v>
      </c>
    </row>
    <row r="41" customHeight="1" spans="2:7">
      <c r="B41" s="9"/>
      <c r="C41" s="10"/>
      <c r="D41" s="10"/>
      <c r="E41" s="10"/>
      <c r="F41" s="16" t="s">
        <v>18</v>
      </c>
      <c r="G41" s="17">
        <f>G39+G40</f>
        <v>152000</v>
      </c>
    </row>
    <row r="43" customHeight="1" spans="2:4">
      <c r="B43" s="3" t="s">
        <v>0</v>
      </c>
      <c r="D43" s="11" t="s">
        <v>47</v>
      </c>
    </row>
    <row r="44" customHeight="1" spans="2:7">
      <c r="B44" s="13" t="s">
        <v>2</v>
      </c>
      <c r="C44" s="14" t="s">
        <v>3</v>
      </c>
      <c r="D44" s="5" t="s">
        <v>4</v>
      </c>
      <c r="E44" s="4" t="s">
        <v>5</v>
      </c>
      <c r="F44" s="4" t="s">
        <v>6</v>
      </c>
      <c r="G44" s="4" t="s">
        <v>7</v>
      </c>
    </row>
    <row r="45" customHeight="1" spans="2:7">
      <c r="B45" s="6">
        <v>1</v>
      </c>
      <c r="C45" s="15" t="s">
        <v>48</v>
      </c>
      <c r="D45" s="15" t="s">
        <v>49</v>
      </c>
      <c r="E45" s="6">
        <v>6</v>
      </c>
      <c r="F45" s="6">
        <v>699</v>
      </c>
      <c r="G45" s="6">
        <f t="shared" ref="G45:G53" si="2">E45*F45</f>
        <v>4194</v>
      </c>
    </row>
    <row r="46" customHeight="1" spans="2:7">
      <c r="B46" s="6">
        <v>2</v>
      </c>
      <c r="C46" s="15" t="s">
        <v>50</v>
      </c>
      <c r="D46" s="15" t="s">
        <v>51</v>
      </c>
      <c r="E46" s="6">
        <v>10</v>
      </c>
      <c r="F46" s="6">
        <v>1399</v>
      </c>
      <c r="G46" s="6">
        <f t="shared" si="2"/>
        <v>13990</v>
      </c>
    </row>
    <row r="47" customHeight="1" spans="2:7">
      <c r="B47" s="6">
        <v>3</v>
      </c>
      <c r="C47" s="15" t="s">
        <v>52</v>
      </c>
      <c r="D47" s="15" t="s">
        <v>53</v>
      </c>
      <c r="E47" s="6">
        <v>10</v>
      </c>
      <c r="F47" s="6">
        <v>199</v>
      </c>
      <c r="G47" s="6">
        <f t="shared" si="2"/>
        <v>1990</v>
      </c>
    </row>
    <row r="48" customHeight="1" spans="2:7">
      <c r="B48" s="6">
        <v>4</v>
      </c>
      <c r="C48" s="15" t="s">
        <v>54</v>
      </c>
      <c r="D48" s="15" t="s">
        <v>55</v>
      </c>
      <c r="E48" s="6">
        <v>6</v>
      </c>
      <c r="F48" s="6">
        <v>799</v>
      </c>
      <c r="G48" s="6">
        <f t="shared" si="2"/>
        <v>4794</v>
      </c>
    </row>
    <row r="49" customHeight="1" spans="2:7">
      <c r="B49" s="6">
        <v>5</v>
      </c>
      <c r="C49" s="15" t="s">
        <v>56</v>
      </c>
      <c r="D49" s="15" t="s">
        <v>57</v>
      </c>
      <c r="E49" s="6">
        <v>10</v>
      </c>
      <c r="F49" s="6">
        <v>799</v>
      </c>
      <c r="G49" s="6">
        <f t="shared" si="2"/>
        <v>7990</v>
      </c>
    </row>
    <row r="50" customHeight="1" spans="2:7">
      <c r="B50" s="6">
        <v>6</v>
      </c>
      <c r="C50" s="15" t="s">
        <v>58</v>
      </c>
      <c r="D50" s="15" t="s">
        <v>59</v>
      </c>
      <c r="E50" s="6">
        <v>20</v>
      </c>
      <c r="F50" s="6">
        <v>349</v>
      </c>
      <c r="G50" s="6">
        <f t="shared" si="2"/>
        <v>6980</v>
      </c>
    </row>
    <row r="51" customHeight="1" spans="2:7">
      <c r="B51" s="6">
        <v>7</v>
      </c>
      <c r="C51" s="15" t="s">
        <v>60</v>
      </c>
      <c r="D51" s="15" t="s">
        <v>61</v>
      </c>
      <c r="E51" s="6">
        <v>10</v>
      </c>
      <c r="F51" s="6">
        <v>1100</v>
      </c>
      <c r="G51" s="6">
        <f t="shared" si="2"/>
        <v>11000</v>
      </c>
    </row>
    <row r="52" customHeight="1" spans="2:7">
      <c r="B52" s="6">
        <v>8</v>
      </c>
      <c r="C52" s="15" t="s">
        <v>62</v>
      </c>
      <c r="D52" s="15" t="s">
        <v>63</v>
      </c>
      <c r="E52" s="6">
        <v>25</v>
      </c>
      <c r="F52" s="6">
        <v>149</v>
      </c>
      <c r="G52" s="6">
        <f t="shared" si="2"/>
        <v>3725</v>
      </c>
    </row>
    <row r="53" customHeight="1" spans="2:7">
      <c r="B53" s="6">
        <v>9</v>
      </c>
      <c r="C53" s="15" t="s">
        <v>64</v>
      </c>
      <c r="D53" s="15" t="s">
        <v>65</v>
      </c>
      <c r="E53" s="6">
        <v>25</v>
      </c>
      <c r="F53" s="6">
        <v>149</v>
      </c>
      <c r="G53" s="6">
        <f t="shared" si="2"/>
        <v>3725</v>
      </c>
    </row>
    <row r="54" customHeight="1" spans="2:7">
      <c r="B54" s="9"/>
      <c r="C54" s="10"/>
      <c r="D54" s="10"/>
      <c r="E54" s="10"/>
      <c r="F54" s="16" t="s">
        <v>16</v>
      </c>
      <c r="G54" s="17">
        <f>SUM(G45:G53)</f>
        <v>58388</v>
      </c>
    </row>
    <row r="55" customHeight="1" spans="2:7">
      <c r="B55" s="9"/>
      <c r="C55" s="10"/>
      <c r="D55" s="10"/>
      <c r="E55" s="10"/>
      <c r="F55" s="16" t="s">
        <v>17</v>
      </c>
      <c r="G55" s="17">
        <v>0</v>
      </c>
    </row>
    <row r="56" customHeight="1" spans="2:7">
      <c r="B56" s="9"/>
      <c r="C56" s="10"/>
      <c r="D56" s="10"/>
      <c r="E56" s="10"/>
      <c r="F56" s="16" t="s">
        <v>18</v>
      </c>
      <c r="G56" s="17">
        <f>G54+G55</f>
        <v>58388</v>
      </c>
    </row>
    <row r="58" customHeight="1" spans="2:4">
      <c r="B58" s="3" t="s">
        <v>0</v>
      </c>
      <c r="D58" s="11" t="s">
        <v>66</v>
      </c>
    </row>
    <row r="59" customHeight="1" spans="2:7">
      <c r="B59" s="4" t="s">
        <v>2</v>
      </c>
      <c r="C59" s="5" t="s">
        <v>3</v>
      </c>
      <c r="D59" s="5" t="s">
        <v>4</v>
      </c>
      <c r="E59" s="4" t="s">
        <v>5</v>
      </c>
      <c r="F59" s="4" t="s">
        <v>6</v>
      </c>
      <c r="G59" s="4" t="s">
        <v>7</v>
      </c>
    </row>
    <row r="60" customHeight="1" spans="2:7">
      <c r="B60" s="6">
        <v>1</v>
      </c>
      <c r="C60" s="15" t="s">
        <v>67</v>
      </c>
      <c r="D60" s="15" t="s">
        <v>68</v>
      </c>
      <c r="E60" s="6">
        <v>4</v>
      </c>
      <c r="F60" s="6">
        <v>15000</v>
      </c>
      <c r="G60" s="6">
        <f t="shared" ref="G60:G62" si="3">E60*F60</f>
        <v>60000</v>
      </c>
    </row>
    <row r="61" customHeight="1" spans="2:7">
      <c r="B61" s="6">
        <v>2</v>
      </c>
      <c r="C61" s="15" t="s">
        <v>67</v>
      </c>
      <c r="D61" s="15" t="s">
        <v>69</v>
      </c>
      <c r="E61" s="6">
        <v>4</v>
      </c>
      <c r="F61" s="6">
        <v>10000</v>
      </c>
      <c r="G61" s="6">
        <f t="shared" si="3"/>
        <v>40000</v>
      </c>
    </row>
    <row r="62" customHeight="1" spans="2:7">
      <c r="B62" s="6">
        <v>3</v>
      </c>
      <c r="C62" s="15" t="s">
        <v>67</v>
      </c>
      <c r="D62" s="15" t="s">
        <v>70</v>
      </c>
      <c r="E62" s="6">
        <v>4</v>
      </c>
      <c r="F62" s="6">
        <v>10000</v>
      </c>
      <c r="G62" s="6">
        <f t="shared" si="3"/>
        <v>40000</v>
      </c>
    </row>
    <row r="63" customHeight="1" spans="2:7">
      <c r="B63" s="9"/>
      <c r="C63" s="10"/>
      <c r="D63" s="10"/>
      <c r="E63" s="10"/>
      <c r="F63" s="16" t="s">
        <v>16</v>
      </c>
      <c r="G63" s="17">
        <f>SUM(G60:G62)</f>
        <v>140000</v>
      </c>
    </row>
    <row r="64" customHeight="1" spans="2:7">
      <c r="B64" s="9"/>
      <c r="C64" s="10"/>
      <c r="D64" s="10"/>
      <c r="E64" s="10"/>
      <c r="F64" s="16" t="s">
        <v>17</v>
      </c>
      <c r="G64" s="17">
        <v>11000</v>
      </c>
    </row>
    <row r="65" customHeight="1" spans="2:7">
      <c r="B65" s="9"/>
      <c r="C65" s="10"/>
      <c r="D65" s="10"/>
      <c r="E65" s="10"/>
      <c r="F65" s="16" t="s">
        <v>18</v>
      </c>
      <c r="G65" s="17">
        <f>G63+G64</f>
        <v>151000</v>
      </c>
    </row>
    <row r="67" customHeight="1" spans="2:4">
      <c r="B67" s="3" t="s">
        <v>0</v>
      </c>
      <c r="D67" s="11" t="s">
        <v>71</v>
      </c>
    </row>
    <row r="68" customHeight="1" spans="2:7">
      <c r="B68" s="4" t="s">
        <v>2</v>
      </c>
      <c r="C68" s="5" t="s">
        <v>3</v>
      </c>
      <c r="D68" s="5" t="s">
        <v>4</v>
      </c>
      <c r="E68" s="4" t="s">
        <v>5</v>
      </c>
      <c r="F68" s="4" t="s">
        <v>6</v>
      </c>
      <c r="G68" s="4" t="s">
        <v>7</v>
      </c>
    </row>
    <row r="69" customHeight="1" spans="2:7">
      <c r="B69" s="6">
        <v>1</v>
      </c>
      <c r="C69" s="15" t="s">
        <v>72</v>
      </c>
      <c r="D69" s="15" t="s">
        <v>73</v>
      </c>
      <c r="E69" s="6">
        <v>1</v>
      </c>
      <c r="F69" s="6">
        <v>15000</v>
      </c>
      <c r="G69" s="6">
        <f t="shared" ref="G69:G71" si="4">E69*F69</f>
        <v>15000</v>
      </c>
    </row>
    <row r="70" customHeight="1" spans="2:7">
      <c r="B70" s="6">
        <v>2</v>
      </c>
      <c r="C70" s="15" t="s">
        <v>74</v>
      </c>
      <c r="D70" s="15" t="s">
        <v>75</v>
      </c>
      <c r="E70" s="6">
        <v>2</v>
      </c>
      <c r="F70" s="6">
        <v>15000</v>
      </c>
      <c r="G70" s="6">
        <f t="shared" si="4"/>
        <v>30000</v>
      </c>
    </row>
    <row r="71" customHeight="1" spans="2:7">
      <c r="B71" s="6">
        <v>3</v>
      </c>
      <c r="C71" s="15" t="s">
        <v>76</v>
      </c>
      <c r="D71" s="15" t="s">
        <v>77</v>
      </c>
      <c r="E71" s="6">
        <v>3</v>
      </c>
      <c r="F71" s="6">
        <v>15000</v>
      </c>
      <c r="G71" s="6">
        <f t="shared" si="4"/>
        <v>45000</v>
      </c>
    </row>
    <row r="72" customHeight="1" spans="2:7">
      <c r="B72" s="9"/>
      <c r="C72" s="10"/>
      <c r="D72" s="10"/>
      <c r="E72" s="10"/>
      <c r="F72" s="16" t="s">
        <v>16</v>
      </c>
      <c r="G72" s="17">
        <f>SUM(G69:G71)</f>
        <v>90000</v>
      </c>
    </row>
    <row r="73" customHeight="1" spans="2:7">
      <c r="B73" s="9"/>
      <c r="C73" s="10"/>
      <c r="D73" s="10"/>
      <c r="E73" s="10"/>
      <c r="F73" s="16" t="s">
        <v>17</v>
      </c>
      <c r="G73" s="17">
        <v>0</v>
      </c>
    </row>
    <row r="74" customHeight="1" spans="2:7">
      <c r="B74" s="9"/>
      <c r="C74" s="10"/>
      <c r="D74" s="10"/>
      <c r="E74" s="10"/>
      <c r="F74" s="16" t="s">
        <v>18</v>
      </c>
      <c r="G74" s="17">
        <f>G72+G73</f>
        <v>90000</v>
      </c>
    </row>
    <row r="76" customHeight="1" spans="2:4">
      <c r="B76" s="3" t="s">
        <v>0</v>
      </c>
      <c r="D76" s="11" t="s">
        <v>78</v>
      </c>
    </row>
    <row r="77" customHeight="1" spans="2:7">
      <c r="B77" s="4" t="s">
        <v>2</v>
      </c>
      <c r="C77" s="5" t="s">
        <v>3</v>
      </c>
      <c r="D77" s="5" t="s">
        <v>4</v>
      </c>
      <c r="E77" s="4" t="s">
        <v>5</v>
      </c>
      <c r="F77" s="4" t="s">
        <v>6</v>
      </c>
      <c r="G77" s="4" t="s">
        <v>7</v>
      </c>
    </row>
    <row r="78" customHeight="1" spans="2:7">
      <c r="B78" s="6">
        <v>1</v>
      </c>
      <c r="C78" s="15" t="s">
        <v>79</v>
      </c>
      <c r="D78" s="15" t="s">
        <v>80</v>
      </c>
      <c r="E78" s="6">
        <v>6</v>
      </c>
      <c r="F78" s="6">
        <v>3500</v>
      </c>
      <c r="G78" s="6">
        <f>E78*F78</f>
        <v>21000</v>
      </c>
    </row>
    <row r="79" customHeight="1" spans="2:7">
      <c r="B79" s="6">
        <v>2</v>
      </c>
      <c r="C79" s="15" t="s">
        <v>81</v>
      </c>
      <c r="D79" s="15" t="s">
        <v>82</v>
      </c>
      <c r="E79" s="6">
        <v>3</v>
      </c>
      <c r="F79" s="6">
        <v>15000</v>
      </c>
      <c r="G79" s="6">
        <f>E79*F79</f>
        <v>45000</v>
      </c>
    </row>
    <row r="80" customHeight="1" spans="2:7">
      <c r="B80" s="9"/>
      <c r="C80" s="10"/>
      <c r="D80" s="10"/>
      <c r="E80" s="10"/>
      <c r="F80" s="16" t="s">
        <v>16</v>
      </c>
      <c r="G80" s="17">
        <f>SUM(G78:G79)</f>
        <v>66000</v>
      </c>
    </row>
    <row r="81" customHeight="1" spans="2:7">
      <c r="B81" s="9"/>
      <c r="C81" s="10"/>
      <c r="D81" s="10"/>
      <c r="E81" s="10"/>
      <c r="F81" s="16" t="s">
        <v>17</v>
      </c>
      <c r="G81" s="17">
        <v>0</v>
      </c>
    </row>
    <row r="82" customHeight="1" spans="2:7">
      <c r="B82" s="9"/>
      <c r="C82" s="10"/>
      <c r="D82" s="10"/>
      <c r="E82" s="10"/>
      <c r="F82" s="16" t="s">
        <v>18</v>
      </c>
      <c r="G82" s="17">
        <f>G80+G81</f>
        <v>66000</v>
      </c>
    </row>
    <row r="84" customHeight="1" spans="2:4">
      <c r="B84" s="3" t="s">
        <v>0</v>
      </c>
      <c r="D84" s="11" t="s">
        <v>83</v>
      </c>
    </row>
    <row r="85" customHeight="1" spans="2:7">
      <c r="B85" s="4" t="s">
        <v>2</v>
      </c>
      <c r="C85" s="5" t="s">
        <v>3</v>
      </c>
      <c r="D85" s="5" t="s">
        <v>4</v>
      </c>
      <c r="E85" s="4" t="s">
        <v>5</v>
      </c>
      <c r="F85" s="4" t="s">
        <v>6</v>
      </c>
      <c r="G85" s="4" t="s">
        <v>7</v>
      </c>
    </row>
    <row r="86" customHeight="1" spans="2:7">
      <c r="B86" s="6">
        <v>1</v>
      </c>
      <c r="C86" s="12" t="s">
        <v>84</v>
      </c>
      <c r="D86" s="12" t="s">
        <v>85</v>
      </c>
      <c r="E86" s="6">
        <v>1</v>
      </c>
      <c r="F86" s="6">
        <v>114000</v>
      </c>
      <c r="G86" s="6">
        <f>E86*F86</f>
        <v>114000</v>
      </c>
    </row>
    <row r="87" customHeight="1" spans="2:7">
      <c r="B87" s="9"/>
      <c r="C87" s="10"/>
      <c r="D87" s="10"/>
      <c r="E87" s="10"/>
      <c r="F87" s="16" t="s">
        <v>16</v>
      </c>
      <c r="G87" s="17">
        <f>SUM(G86:G86)</f>
        <v>114000</v>
      </c>
    </row>
    <row r="88" customHeight="1" spans="2:7">
      <c r="B88" s="9"/>
      <c r="C88" s="10"/>
      <c r="D88" s="10"/>
      <c r="E88" s="10"/>
      <c r="F88" s="16" t="s">
        <v>17</v>
      </c>
      <c r="G88" s="17">
        <v>21000</v>
      </c>
    </row>
    <row r="89" customHeight="1" spans="2:7">
      <c r="B89" s="9"/>
      <c r="C89" s="10"/>
      <c r="D89" s="10"/>
      <c r="E89" s="10"/>
      <c r="F89" s="16" t="s">
        <v>18</v>
      </c>
      <c r="G89" s="17">
        <f>G87+G88</f>
        <v>135000</v>
      </c>
    </row>
  </sheetData>
  <hyperlinks>
    <hyperlink ref="C4" r:id="rId1" display="Socket IC 14 Pin - Socket 14 Pin" tooltip="https://www.tokopedia.com/smgjayatronik/socket-ic-14-pin-socket-14-pin"/>
    <hyperlink ref="C5" r:id="rId2" display="CD4071BE CD4071 IC 4071 PDIP-14" tooltip="https://www.tokopedia.com/smgjayatronik/cd4071be-cd4071-ic-4071-pdip-14-1729801493127333767"/>
    <hyperlink ref="C7" r:id="rId3" display="PCB IC Titik-Matrix TW 19.5 x 9 cm" tooltip="https://www.tokopedia.com/smgjayatronik/pcb-ic-titik-matrix-tw-19-5-x-9-cm"/>
    <hyperlink ref="C6" r:id="rId4" display="CD4071BCM CD4071 SMD IC 4071" tooltip="https://www.tokopedia.com/smgjayatronik/cd4071bcm-cd4071-smd-ic-4071"/>
    <hyperlink ref="D4" r:id="rId1" display="Socket IC 14 Pin" tooltip="https://www.tokopedia.com/smgjayatronik/socket-ic-14-pin-socket-14-pin"/>
    <hyperlink ref="D5" r:id="rId2" display="4071" tooltip="https://www.tokopedia.com/smgjayatronik/cd4071be-cd4071-ic-4071-pdip-14-1729801493127333767"/>
    <hyperlink ref="D7" r:id="rId3" display="PCB Matrix TW 19.5 x 9 cm" tooltip="https://www.tokopedia.com/smgjayatronik/pcb-ic-titik-matrix-tw-19-5-x-9-cm"/>
    <hyperlink ref="D6" r:id="rId4" display="4071 SMD" tooltip="https://www.tokopedia.com/smgjayatronik/cd4071bcm-cd4071-smd-ic-4071"/>
    <hyperlink ref="D2" r:id="rId5" display=": JayaTronik Smg" tooltip="https://www.tokopedia.com/smgjayatronik"/>
    <hyperlink ref="D12" r:id="rId6" display=": Central Electronics" tooltip="https://www.tokopedia.com/celectro"/>
    <hyperlink ref="C14" r:id="rId7" display="RELAY G5V-1 5VDC" tooltip="https://www.tokopedia.com/celectro/relay-g5v-1-5vdc"/>
    <hyperlink ref="D14" r:id="rId7" display="RELAY G5V-1 5VDC" tooltip="https://www.tokopedia.com/celectro/relay-g5v-1-5vdc"/>
    <hyperlink ref="D21" r:id="rId7" display="Enameled Copper Wire 0.2mm" tooltip="https://www.tokopedia.com/celectro/relay-g5v-1-5vdc"/>
    <hyperlink ref="D19" r:id="rId8" display=": mitrus" tooltip="https://www.tokopedia.com/mitrus-539"/>
    <hyperlink ref="C21" r:id="rId9" display="KAWAT TEMBAGA EMAIL 0.20 MM ENAMEL WIRE COOPER GULUNG DINAMO ILMAIL" tooltip="https://www.tokopedia.com/mitrus-539/kawat-tembaga-email-0-20-mm-enamel-wire-cooper-gulung-dinamo-ilmail-1"/>
    <hyperlink ref="D26" r:id="rId10" display=": Putra Niaga Elektronik" tooltip="https://www.tokopedia.com/putraniagabdg"/>
    <hyperlink ref="C38" r:id="rId11" display="Header Female 2x20 Pin Kaki Panjang pitch 2.54mm 20x2 Double Row Long Pin 2x20p" tooltip="https://www.tokopedia.com/putraniagabdg/header-female-2x20-pin-kaki-panjang-pitch-2-54mm-20x2-double-row-long-pin-2x20p"/>
    <hyperlink ref="C29" r:id="rId12" display="Push on 4p mini PCB / Tact switch Tombol Reset 4pin tinggi 4,3mm" tooltip="https://www.tokopedia.com/putraniagabdg/push-on-4p-mini-pcb-tact-switch-tombol-reset-4pin-tinggi-4-3mm"/>
    <hyperlink ref="C30" r:id="rId13" display="PC817 Optocoupler PC 817 Dip 4pin PC817-1 High Quality" tooltip="https://www.tokopedia.com/putraniagabdg/pc817-optocoupler-pc-817-dip-4pin-pc817-1-high-quality"/>
    <hyperlink ref="C37" r:id="rId14" display="Header Female Baris 2x40 Pin 2.54mm 2 x 20 FCP 2x40p Hitam" tooltip="https://www.tokopedia.com/putraniagabdg/header-female-baris-2x40-pin-2-54mm-2-x-20-fcp-2x40p-hitam"/>
    <hyperlink ref="C35" r:id="rId15" display="Header Male Baris 2x40 Pin 2.54mm 2 x 40 FCP 2x40p Hitam" tooltip="https://www.tokopedia.com/putraniagabdg/header-male-baris-2x40-pin-2-54mm-2-x-40-fcp-2x40p-hitam"/>
    <hyperlink ref="C36" r:id="rId16" display="Header Male Siku 2x40 L 2.54mm 2 x 40 FCP Baris 2x40p Belok R/A" tooltip="https://www.tokopedia.com/putraniagabdg/header-male-siku-2x40-l-2-54mm-2-x-40-fcp-baris-2x40p-belok-r-a-1729824156178613544"/>
    <hyperlink ref="C34" r:id="rId17" display="Header Male Baris 1x40 Pin 2.54mm 1 x 40 FCP 1x40p Hitam" tooltip="https://www.tokopedia.com/putraniagabdg/header-male-baris-1x40-pin-2-54mm-1-x-40-fcp-1x40p-hitam-1729809669501388072"/>
    <hyperlink ref="C31" r:id="rId18" display="(1 Set) Konektor Header 5 Pin 3.96mm Lock 5p 3.96 mm Male Female 5pin" tooltip="https://www.tokopedia.com/putraniagabdg/1-set-konektor-header-5-pin-3-96mm-lock-5p-3-96-mm-male-female-5pin-1729814123560600872"/>
    <hyperlink ref="C33" r:id="rId19" display="(1 Set) Konektor Header 2 Pin 3.96mm Lock 2p 3.96 mm Male Female 2pin" tooltip="https://www.tokopedia.com/putraniagabdg/1-set-konektor-header-2-pin-3-96mm-lock-2p-3-96-mm-male-female-2pin"/>
    <hyperlink ref="C32" r:id="rId20" display="(1 Set) Konektor Header 3 Pin 3.96mm Lock 3p 3.96 mm Male Female 3pin" tooltip="https://www.tokopedia.com/putraniagabdg/1-set-konektor-header-3-pin-3-96mm-lock-3p-3-96-mm-male-female-3pin"/>
    <hyperlink ref="C28" r:id="rId21" display="Tantalum SMD 22uF 10V Kapasitor 22 uF kode 226 dimensi 3528" tooltip="https://www.tokopedia.com/putraniagabdg/tantalum-smd-22uf-10v-kapasitor-22-uf-kode-226-dimensi-3528"/>
    <hyperlink ref="D38" r:id="rId11" display="Header Female 2x20 Pitch 2.54 mm Long Pin" tooltip="https://www.tokopedia.com/putraniagabdg/header-female-2x20-pin-kaki-panjang-pitch-2-54mm-20x2-double-row-long-pin-2x20p"/>
    <hyperlink ref="D30" r:id="rId13" display="Optocoupler PC817" tooltip="https://www.tokopedia.com/putraniagabdg/pc817-optocoupler-pc-817-dip-4pin-pc817-1-high-quality"/>
    <hyperlink ref="D37" r:id="rId14" display="Header Female 2x40 Pitch 2.54 mm" tooltip="https://www.tokopedia.com/putraniagabdg/header-female-baris-2x40-pin-2-54mm-2-x-20-fcp-2x40p-hitam"/>
    <hyperlink ref="D35" r:id="rId15" display="Header Male 2x40 Pitch 2.54 mm" tooltip="https://www.tokopedia.com/putraniagabdg/header-male-baris-2x40-pin-2-54mm-2-x-40-fcp-2x40p-hitam"/>
    <hyperlink ref="D36" r:id="rId16" display="Header Male 2x40 Pitch 2.54 mm Right Angle" tooltip="https://www.tokopedia.com/putraniagabdg/header-male-siku-2x40-l-2-54mm-2-x-40-fcp-baris-2x40p-belok-r-a-1729824156178613544"/>
    <hyperlink ref="D34" r:id="rId17" display="Header Male 1x40 Pitch 2.54 mm" tooltip="https://www.tokopedia.com/putraniagabdg/header-male-baris-1x40-pin-2-54mm-1-x-40-fcp-1x40p-hitam-1729809669501388072"/>
    <hyperlink ref="D31" r:id="rId18" display="(1 Set) Connector JST 5P Pitch 3.96 mm" tooltip="https://www.tokopedia.com/putraniagabdg/1-set-konektor-header-5-pin-3-96mm-lock-5p-3-96-mm-male-female-5pin-1729814123560600872"/>
    <hyperlink ref="D33" r:id="rId19" display="(1 Set) Connector JST 2P Pitch 3.96 mm" tooltip="https://www.tokopedia.com/putraniagabdg/1-set-konektor-header-2-pin-3-96mm-lock-2p-3-96-mm-male-female-2pin"/>
    <hyperlink ref="D32" r:id="rId20" display="(1 Set) Connector JST 3P Pitch 3.96 mm" tooltip="https://www.tokopedia.com/putraniagabdg/1-set-konektor-header-3-pin-3-96mm-lock-3p-3-96-mm-male-female-3pin"/>
    <hyperlink ref="D29" r:id="rId12" display="Tactile switch 6x6 H 4.3 mm" tooltip="https://www.tokopedia.com/putraniagabdg/push-on-4p-mini-pcb-tact-switch-tombol-reset-4pin-tinggi-4-3mm"/>
    <hyperlink ref="D28" r:id="rId21" display="Capacitor Tantalum 22µF 10V 3528" tooltip="https://www.tokopedia.com/putraniagabdg/tantalum-smd-22uf-10v-kapasitor-22-uf-kode-226-dimensi-3528"/>
    <hyperlink ref="D43" r:id="rId22" display=": Lisu Instruments" tooltip="https://www.tokopedia.com/lisuinstrument"/>
    <hyperlink ref="C45" r:id="rId23" display="SS36B 60V 3A Schottky Barrier Rectifier SS36 SMB CTK Electronics" tooltip="https://www.tokopedia.com/lisuinstrument/ss36b-60v-3a-schottky-barrier-rectifier-ss36-smb-ctk-electronics"/>
    <hyperlink ref="C46" r:id="rId24" display="BCX56 NPN 80V 1A 500mW hfe=100~250 Transistor BJT SOT-89-3 CJ Original" tooltip="https://www.tokopedia.com/lisuinstrument/bcx56-npn-80v-1a-500mw-hfe-100-250-transistor-bjt-sot-89-3-cj-original"/>
    <hyperlink ref="C47" r:id="rId25" display="1206 SMD LED SMT Ultra Bright Berbagai Pilihan Warna" tooltip="https://www.tokopedia.com/lisuinstrument/1206-smd-led-smt-ultra-bright-berbagai-pilihan-warna-merah"/>
    <hyperlink ref="C48" r:id="rId26" display="SS36A 60V 3A Schottky Diode SMA DO-214AC SS36 Hottech ORIGINAL" tooltip="https://www.tokopedia.com/lisuinstrument/ss36a-60v-3a-schottky-diode-sma-do-214ac-ss36-hottech-original"/>
    <hyperlink ref="C49" r:id="rId27" display="1uF ±10% 50V X7R 1206 3216(mm) SMD Capacitors MLCC Samsung" tooltip="https://www.tokopedia.com/lisuinstrument/1uf-10-50v-x7r-1206-3216-mm-smd-capacitors-mlcc-samsung"/>
    <hyperlink ref="C50" r:id="rId28" display="100nF 50V X7R ±10% 1206 3216(mm) SMD Ceramic Capacitor CL31B104KBCNNNC" tooltip="https://www.tokopedia.com/lisuinstrument/100nf-50v-x7r-10-1206-3216-mm-smd-ceramic-capacitor-cl31b104kbcnnnc"/>
    <hyperlink ref="C51" r:id="rId29" display="0Ω 1206 ±5% SMD Thick Resistor 0R 0 Walsin WR12X000PTL" tooltip="https://www.tokopedia.com/lisuinstrument/0-1206-5-smd-thick-resistor-0r-0-walsin-wr12x000ptl-1731697760176997861"/>
    <hyperlink ref="C52" r:id="rId30" display="5.1kΩ  1206 ±1% 250mW 200V  ±100ppm/℃ Thick Film Resistors 5.1K 5K1 5101 RC1206FR-075K1L YAGEO" tooltip="https://www.tokopedia.com/lisuinstrument/5-1k-1206-1-250mw-200v-100ppm-thick-film-resistors-5-1k-5k1-5101-rc1206fr-075k1l-yageo"/>
    <hyperlink ref="C53" r:id="rId31" display="10kΩ  1206 ±1% 250mW 200V  ±100ppm/℃ Thick Film Resistors 10k 10 1002 RC1206FR-0710KL YAGEO" tooltip="https://www.tokopedia.com/lisuinstrument/10k-1206-1-250mw-200v-100ppm-thick-film-resistors-10k-10-1002-rc1206fr-0710kl-yageo"/>
    <hyperlink ref="D45" r:id="rId23" display="Schottky SS36 SMB" tooltip="https://www.tokopedia.com/lisuinstrument/ss36b-60v-3a-schottky-barrier-rectifier-ss36-smb-ctk-electronics"/>
    <hyperlink ref="D46" r:id="rId24" display="Transistor BCX56 SOT-89-3" tooltip="https://www.tokopedia.com/lisuinstrument/bcx56-npn-80v-1a-500mw-hfe-100-250-transistor-bjt-sot-89-3-cj-original"/>
    <hyperlink ref="D47" r:id="rId25" display="LED 1206" tooltip="https://www.tokopedia.com/lisuinstrument/1206-smd-led-smt-ultra-bright-berbagai-pilihan-warna-merah"/>
    <hyperlink ref="D48" r:id="rId26" display="Schottky SS36 SMA" tooltip="https://www.tokopedia.com/lisuinstrument/ss36a-60v-3a-schottky-diode-sma-do-214ac-ss36-hottech-original"/>
    <hyperlink ref="D49" r:id="rId27" display="Capacitor MLCC 1uF 50V X7R 1206" tooltip="https://www.tokopedia.com/lisuinstrument/1uf-10-50v-x7r-1206-3216-mm-smd-capacitors-mlcc-samsung"/>
    <hyperlink ref="D50" r:id="rId28" display="Capacitor MLCC 100nF 50V X7R 1206" tooltip="https://www.tokopedia.com/lisuinstrument/100nf-50v-x7r-10-1206-3216-mm-smd-ceramic-capacitor-cl31b104kbcnnnc"/>
    <hyperlink ref="D51" r:id="rId29" display="Resistor 0Ω 1206" tooltip="https://www.tokopedia.com/lisuinstrument/0-1206-5-smd-thick-resistor-0r-0-walsin-wr12x000ptl-1731697760176997861"/>
    <hyperlink ref="D52" r:id="rId30" display="Resistor 5.1kΩ  1206" tooltip="https://www.tokopedia.com/lisuinstrument/5-1k-1206-1-250mw-200v-100ppm-thick-film-resistors-5-1k-5k1-5101-rc1206fr-075k1l-yageo"/>
    <hyperlink ref="D53" r:id="rId31" display="Resistor 10kΩ  1206" tooltip="https://www.tokopedia.com/lisuinstrument/10k-1206-1-250mw-200v-100ppm-thick-film-resistors-10k-10-1002-rc1206fr-0710kl-yageo"/>
    <hyperlink ref="C60" r:id="rId32" display="LM2576S LM2576HVS ADJ 3.3 5.0 12 IC Regulator Switching SMD To-263-5" tooltip="https://www.tokopedia.com/starelektro-1/lm2576s-lm2576hvs-adj-3-3-5-0-12-ic-regulator-switching-smd-to-263-5-4pcs-12volt-cfe9f"/>
    <hyperlink ref="C61" r:id="rId33" display="LM2576S LM2576HVS ADJ 3.3 5.0 12 IC Regulator Switching SMD To-263-5" tooltip="https://www.tokopedia.com/starelektro-1/lm2576s-lm2576hvs-adj-3-3-5-0-12-ic-regulator-switching-smd-to-263-5-4pcs-5volt-61057"/>
    <hyperlink ref="C62" r:id="rId34" display="LM2576S LM2576HVS ADJ 3.3 5.0 12 IC Regulator Switching SMD To-263-5" tooltip="https://www.tokopedia.com/starelektro-1/lm2576s-lm2576hvs-adj-3-3-5-0-12-ic-regulator-switching-smd-to-263-5-4pcs-3-3volt-406d1"/>
    <hyperlink ref="D60" r:id="rId32" display="LM2576S-12 TO-263-5" tooltip="https://www.tokopedia.com/starelektro-1/lm2576s-lm2576hvs-adj-3-3-5-0-12-ic-regulator-switching-smd-to-263-5-4pcs-12volt-cfe9f"/>
    <hyperlink ref="D61" r:id="rId33" display="LM2576S-5 TO-263-5" tooltip="https://www.tokopedia.com/starelektro-1/lm2576s-lm2576hvs-adj-3-3-5-0-12-ic-regulator-switching-smd-to-263-5-4pcs-5volt-61057"/>
    <hyperlink ref="D62" r:id="rId34" display="LM2576S-3.3 TO-263-5" tooltip="https://www.tokopedia.com/starelektro-1/lm2576s-lm2576hvs-adj-3-3-5-0-12-ic-regulator-switching-smd-to-263-5-4pcs-3-3volt-406d1"/>
    <hyperlink ref="D58" r:id="rId35" display=": StarElektro_NEW" tooltip="https://www.tokopedia.com/starelektro-1"/>
    <hyperlink ref="D67" r:id="rId36" display=": Dns Electronic" tooltip="https://www.tokopedia.com/dnselectronic"/>
    <hyperlink ref="C69" r:id="rId37" display="WIMA 2n2 630V MKP10" tooltip="https://www.tokopedia.com/dnselectronic/wima-2n2-630v-mkp10"/>
    <hyperlink ref="C70" r:id="rId38" display="WIMA 3n3 630V MKP10" tooltip="https://www.tokopedia.com/dnselectronic/wima-3n3-630v-mkp10"/>
    <hyperlink ref="C71" r:id="rId39" display="WIMA 4n7 630V MKP10" tooltip="https://www.tokopedia.com/dnselectronic/wima-4n7-630v-mkp10"/>
    <hyperlink ref="D69" r:id="rId37" display="Capacitor 2n2 630V MKP10" tooltip="https://www.tokopedia.com/dnselectronic/wima-2n2-630v-mkp10"/>
    <hyperlink ref="D70" r:id="rId38" display="Capacitor 3n3 630V MKP10" tooltip="https://www.tokopedia.com/dnselectronic/wima-3n3-630v-mkp10"/>
    <hyperlink ref="D71" r:id="rId39" display="Capacitor 4n7 630V MKP10" tooltip="https://www.tokopedia.com/dnselectronic/wima-4n7-630v-mkp10"/>
    <hyperlink ref="D76" r:id="rId36" display=": SIKIL GANGSAL" tooltip="https://www.tokopedia.com/dnselectronic"/>
    <hyperlink ref="C78" r:id="rId40" display="Solid kapasitor capasitor elko elco SMD 100uf 50v 10x10 High quality" tooltip="https://www.tokopedia.com/jayenk/solid-kapasitor-capasitor-elko-elco-smd-100uf-50v-10x10-high-quality"/>
    <hyperlink ref="C79" r:id="rId41" display="Solid kapasitor capasitor elko elco SMD 680uf 35v 680uf VZS size 10x10" tooltip="https://www.tokopedia.com/jayenk/solid-kapasitor-capasitor-elko-elco-smd-680uf-35v-680uf-vzs-size-10x10"/>
    <hyperlink ref="D78" r:id="rId40" display="Solid Capacitor 100µf 50v 10x10" tooltip="https://www.tokopedia.com/jayenk/solid-kapasitor-capasitor-elko-elco-smd-100uf-50v-10x10-high-quality"/>
    <hyperlink ref="D79" r:id="rId41" display="Solid Capacitor 680uf 35v 10x10" tooltip="https://www.tokopedia.com/jayenk/solid-kapasitor-capasitor-elko-elco-smd-680uf-35v-680uf-vzs-size-10x10"/>
    <hyperlink ref="C86" r:id="rId42" display="ESP32 S3 WROOM ESP32-S3-WROOM-1U Chip Module 8MB PSRAM" tooltip="https://www.tokopedia.com/the-diy-store/esp32-s3-wroom-esp32-s3-wroom-1u-chip-module-8mb-psram-n16r8-16mb"/>
    <hyperlink ref="D84" r:id="rId43" display=": Cha's Instrument" tooltip="https://www.tokopedia.com/the-diy-store"/>
    <hyperlink ref="D86" r:id="rId42" display="ESP32-S3-WROOM-1U N16R8" tooltip="https://www.tokopedia.com/the-diy-store/esp32-s3-wroom-esp32-s3-wroom-1u-chip-module-8mb-psram-n16r8-16mb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2025-08-07T17:27:00Z</dcterms:created>
  <dcterms:modified xsi:type="dcterms:W3CDTF">2025-08-12T19:44:01Z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4AE086C0106B29B11F1D946875141B2C_41</vt:lpwstr>
  </property>
  <property fmtid="{D5CDD505-2E9C-101B-9397-08002B2CF9AE}" pid="3" name="KSOProductBuildVer">
    <vt:lpwstr>1033-6.13.1.8709</vt:lpwstr>
  </property>
</Properties>
</file>