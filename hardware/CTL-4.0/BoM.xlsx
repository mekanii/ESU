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560" activeTab="2"/>
  </bookViews>
  <sheets>
    <sheet name="Sheet1" sheetId="1" r:id="rId1"/>
    <sheet name="Sheet2" sheetId="3" r:id="rId2"/>
    <sheet name="Sheet3" sheetId="4" r:id="rId3"/>
  </sheets>
  <definedNames>
    <definedName name="_xlnm._FilterDatabase" localSheetId="1" hidden="1">Sheet2!$A$1:$I$29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<sst xmlns="http://schemas.openxmlformats.org/spreadsheetml/2006/main" count="468" uniqueCount="195">
  <si>
    <t>#</t>
  </si>
  <si>
    <t>Sourced</t>
  </si>
  <si>
    <t>Placed</t>
  </si>
  <si>
    <t>References</t>
  </si>
  <si>
    <t>Value</t>
  </si>
  <si>
    <t>Footprint</t>
  </si>
  <si>
    <t>Quantity</t>
  </si>
  <si>
    <t>✅</t>
  </si>
  <si>
    <t>R1, R2, R3, R4, R5, R6, R7, R8, R9, R10, R11, R15, R16, R17, R18, R19</t>
  </si>
  <si>
    <t>10k</t>
  </si>
  <si>
    <t>R_1206_3216Metric_Pad1.30x1.75mm_HandSolder</t>
  </si>
  <si>
    <t>https://www.tokopedia.com/lisuinstrument/10k-1206-1-250mw-200v-100ppm-thick-film-resistors-10k-10-1002-rc1206fr-0710kl-yageo</t>
  </si>
  <si>
    <t>R12, R13</t>
  </si>
  <si>
    <t>5.1k</t>
  </si>
  <si>
    <t>https://www.tokopedia.com/lisuinstrument/5-1k-1206-1-250mw-200v-100ppm-thick-film-resistors-5-1k-5k1-5101-rc1206fr-075k1l-yageo</t>
  </si>
  <si>
    <t>R14</t>
  </si>
  <si>
    <t>https://www.tokopedia.com/lisuinstrument/0-1206-5-smd-thick-resistor-0r-0-walsin-wr12x000ptl-1731697760176997861</t>
  </si>
  <si>
    <t>C1, C3, C5</t>
  </si>
  <si>
    <t>100µF 35V</t>
  </si>
  <si>
    <t>CP_Elec_10x10</t>
  </si>
  <si>
    <t>https://www.tokopedia.com/jayenk/solid-kapasitor-capasitor-elko-elco-smd-100uf-50v-10x10-high-quality</t>
  </si>
  <si>
    <t>C2, C4, C6</t>
  </si>
  <si>
    <t>680µF 35V</t>
  </si>
  <si>
    <t>https://www.tokopedia.com/jayenk/solid-kapasitor-capasitor-elko-elco-smd-680uf-35v-680uf-vzs-size-10x10</t>
  </si>
  <si>
    <t>C7, C8, C11</t>
  </si>
  <si>
    <t>100nF</t>
  </si>
  <si>
    <t>C_1206_3216Metric_Pad1.33x1.80mm_HandSolder</t>
  </si>
  <si>
    <t>https://www.tokopedia.com/lisuinstrument/100nf-50v-x7r-10-1206-3216-mm-smd-ceramic-capacitor-cl31b104kbcnnnc</t>
  </si>
  <si>
    <t>C9</t>
  </si>
  <si>
    <t>1µF</t>
  </si>
  <si>
    <t>https://www.tokopedia.com/lisuinstrument/1uf-10-50v-x7r-1206-3216-mm-smd-capacitors-mlcc-samsung</t>
  </si>
  <si>
    <t>C10</t>
  </si>
  <si>
    <t>22µF 10V</t>
  </si>
  <si>
    <t>CP_EIA-3528-12_Kemet-T_Pad1.50x2.35mm_HandSolder</t>
  </si>
  <si>
    <t>https://www.tokopedia.com/putraniagabdg/tantalum-smd-22uf-10v-kapasitor-22-uf-kode-226-dimensi-3528</t>
  </si>
  <si>
    <t>L1, L2, L3</t>
  </si>
  <si>
    <t>100µH</t>
  </si>
  <si>
    <t>L_12x12mm_H8mm</t>
  </si>
  <si>
    <t>https://www.tokopedia.com/elantech/induktor-smd-100uh-1-7a-101-pcs127-12x12x7mm-smt-viking-tech-power-inductor-elantech-1731226397539337633</t>
  </si>
  <si>
    <t>D1, D2, D3</t>
  </si>
  <si>
    <t>SS36</t>
  </si>
  <si>
    <t>D_SMA</t>
  </si>
  <si>
    <t>https://www.tokopedia.com/lisuinstrument/ss36a-60v-3a-schottky-diode-sma-do-214ac-ss36-hottech-original</t>
  </si>
  <si>
    <t>D4, D5, D6</t>
  </si>
  <si>
    <t>LED</t>
  </si>
  <si>
    <t>LED_1206_3216Metric_Pad1.42x1.75mm_HandSolder</t>
  </si>
  <si>
    <t>https://www.tokopedia.com/lisuinstrument/1206-smd-led-smt-ultra-bright-berbagai-pilihan-warna-merah</t>
  </si>
  <si>
    <t>D7</t>
  </si>
  <si>
    <t>BAT60A</t>
  </si>
  <si>
    <t>D_SMB_Handsoldering</t>
  </si>
  <si>
    <t>https://www.tokopedia.com/lisuinstrument/ss36b-60v-3a-schottky-barrier-rectifier-ss36-smb-ctk-electronics</t>
  </si>
  <si>
    <t>U6, U7</t>
  </si>
  <si>
    <t>PC817</t>
  </si>
  <si>
    <t>DIP-4_W7.62mm_Socket</t>
  </si>
  <si>
    <t>https://www.tokopedia.com/putraniagabdg/pc817-optocoupler-pc-817-dip-4pin-pc817-1-high-quality</t>
  </si>
  <si>
    <t>U1</t>
  </si>
  <si>
    <t>LM2576S-3.3</t>
  </si>
  <si>
    <t>TO-263-5_TabPin3</t>
  </si>
  <si>
    <t>https://www.tokopedia.com/starelektro-1/lm2576s-lm2576hvs-adj-3-3-5-0-12-ic-regulator-switching-smd-to-263-5-4pcs-3-3volt-406d1</t>
  </si>
  <si>
    <t>U2</t>
  </si>
  <si>
    <t>LM2576S-5</t>
  </si>
  <si>
    <t>https://www.tokopedia.com/starelektro-1/lm2576s-lm2576hvs-adj-3-3-5-0-12-ic-regulator-switching-smd-to-263-5-4pcs-5volt-61057</t>
  </si>
  <si>
    <t>U3</t>
  </si>
  <si>
    <t>LM2576S-12</t>
  </si>
  <si>
    <t>https://www.tokopedia.com/starelektro-1/lm2576s-lm2576hvs-adj-3-3-5-0-12-ic-regulator-switching-smd-to-263-5-4pcs-12volt-cfe9f</t>
  </si>
  <si>
    <t>U4</t>
  </si>
  <si>
    <t>ESP32-S3-WROOM-1U</t>
  </si>
  <si>
    <t>https://www.tokopedia.com/the-diy-store/esp32-s3-wroom-esp32-s3-wroom-1u-chip-module-8mb-psram-n16r8-16mb</t>
  </si>
  <si>
    <t>U5</t>
  </si>
  <si>
    <t>DIP-14_W8.89mm_SMDSocket_LongPads</t>
  </si>
  <si>
    <t>https://www.tokopedia.com/smgjayatronik/cd4071bcm-cd4071-smd-ic-4071</t>
  </si>
  <si>
    <t>SW1, SW2</t>
  </si>
  <si>
    <t>SW_Omron_B3FS</t>
  </si>
  <si>
    <t>SW_SPST_Omron_B3FS-100xP</t>
  </si>
  <si>
    <t>https://www.tokopedia.com/putraniagabdg/push-on-4p-mini-pcb-tact-switch-tombol-reset-4pin-tinggi-4-3mm</t>
  </si>
  <si>
    <t>Q1, Q2, Q3, Q4, Q5</t>
  </si>
  <si>
    <t>BCX56</t>
  </si>
  <si>
    <t>SOT-89-3</t>
  </si>
  <si>
    <t>https://www.tokopedia.com/lisuinstrument/bcx56-npn-80v-1a-500mw-hfe-100-250-transistor-bjt-sot-89-3-cj-original</t>
  </si>
  <si>
    <t>TP1, TP2, TP3</t>
  </si>
  <si>
    <t>TestPoint</t>
  </si>
  <si>
    <t>TestPoint_Bridge_Pitch2.54mm_Drill1.0mm</t>
  </si>
  <si>
    <t>K1</t>
  </si>
  <si>
    <t>G5V-1</t>
  </si>
  <si>
    <t>Relay_SPDT_Omron_G5V-1</t>
  </si>
  <si>
    <t>https://www.tokopedia.com/celectro/relay-g5v-1-5vdc</t>
  </si>
  <si>
    <t>J7, J8</t>
  </si>
  <si>
    <t>Conn_01x04</t>
  </si>
  <si>
    <t>PinHeader_1x04_P2.54mm_Vertical</t>
  </si>
  <si>
    <t>J1</t>
  </si>
  <si>
    <t>Conn_02x16_Top_Bottom</t>
  </si>
  <si>
    <t>PinHeader_2x16_P2.54mm_Horizontal_NoPins</t>
  </si>
  <si>
    <t>https://www.tokopedia.com/putraniagabdg/header-male-siku-2x40-l-2-54mm-2-x-40-fcp-baris-2x40p-belok-r-a-1729824156178613544</t>
  </si>
  <si>
    <t>J3</t>
  </si>
  <si>
    <t>Conn_01x03</t>
  </si>
  <si>
    <t>Molex_KK-396_5273-03A_1x03_P3.96mm_Vertical</t>
  </si>
  <si>
    <t>https://www.tokopedia.com/putraniagabdg/1-set-konektor-header-3-pin-3-96mm-lock-3p-3-96-mm-male-female-3pin</t>
  </si>
  <si>
    <t>J4</t>
  </si>
  <si>
    <t>Conn_01x02</t>
  </si>
  <si>
    <t>Molex_KK-396_5273-02A_1x02_P3.96mm_Vertical</t>
  </si>
  <si>
    <t>https://www.tokopedia.com/putraniagabdg/1-set-konektor-header-2-pin-3-96mm-lock-2p-3-96-mm-male-female-2pin</t>
  </si>
  <si>
    <t>J5</t>
  </si>
  <si>
    <t>Conn_02x06_Odd_Even</t>
  </si>
  <si>
    <t>PinHeader_2x06_P2.54mm_Vertical</t>
  </si>
  <si>
    <t>https://www.tokopedia.com/putraniagabdg/header-male-baris-2x40-pin-2-54mm-2-x-40-fcp-2x40p-hitam</t>
  </si>
  <si>
    <t>J6</t>
  </si>
  <si>
    <t>PinHeader_1x06_P2.54mm_Vertical</t>
  </si>
  <si>
    <t>https://www.tokopedia.com/putraniagabdg/header-male-baris-1x40-pin-2-54mm-1-x-40-fcp-1x40p-hitam-1729809669501388072</t>
  </si>
  <si>
    <t>Supplier</t>
  </si>
  <si>
    <t>: JayaTronik Smg</t>
  </si>
  <si>
    <t>Nama</t>
  </si>
  <si>
    <t>Item</t>
  </si>
  <si>
    <t>Qty</t>
  </si>
  <si>
    <t>Harga Satuan (Rp)</t>
  </si>
  <si>
    <t>Harga Total (Rp)</t>
  </si>
  <si>
    <t>Socket IC 14 Pin - Socket 14 Pin</t>
  </si>
  <si>
    <t>Socket IC 14 Pin</t>
  </si>
  <si>
    <t>CD4071BE CD4071 IC 4071 PDIP-14</t>
  </si>
  <si>
    <t>CD4071BCM CD4071 SMD IC 4071</t>
  </si>
  <si>
    <t>4071 SMD</t>
  </si>
  <si>
    <t>PCB IC Titik-Matrix TW 19.5 x 9 cm</t>
  </si>
  <si>
    <t>PCB Matrix TW 19.5 x 9 cm</t>
  </si>
  <si>
    <t>Sub Total</t>
  </si>
  <si>
    <t>Biaya Kirim</t>
  </si>
  <si>
    <t>Total</t>
  </si>
  <si>
    <t>: Central Electronics</t>
  </si>
  <si>
    <t>RELAY G5V-1 5VDC</t>
  </si>
  <si>
    <t>: delta elektronic</t>
  </si>
  <si>
    <t>mkm 2N7 wesco</t>
  </si>
  <si>
    <t>Capacitor MKM 2n7 600V</t>
  </si>
  <si>
    <t>: mitrus</t>
  </si>
  <si>
    <t>KAWAT TEMBAGA EMAIL 0.20 MM ENAMEL WIRE COOPER GULUNG DINAMO ILMAIL</t>
  </si>
  <si>
    <t>Enameled Copper Wire 0.2mm</t>
  </si>
  <si>
    <t>: Putra Niaga Elektronik</t>
  </si>
  <si>
    <t>Tantalum SMD 22uF 10V Kapasitor 22 uF kode 226 dimensi 3528</t>
  </si>
  <si>
    <t>Capacitor Tantalum 22µF 10V 3528</t>
  </si>
  <si>
    <t>Push on 4p mini PCB / Tact switch Tombol Reset 4pin tinggi 4,3mm</t>
  </si>
  <si>
    <t>Tactile switch 6x6 H 4.3 mm</t>
  </si>
  <si>
    <t>PC817 Optocoupler PC 817 Dip 4pin PC817-1 High Quality</t>
  </si>
  <si>
    <t>Optocoupler PC817</t>
  </si>
  <si>
    <t>(1 Set) Konektor Header 5 Pin 3.96mm Lock 5p 3.96 mm Male Female 5pin</t>
  </si>
  <si>
    <t>(1 Set) Connector JST 5P Pitch 3.96 mm</t>
  </si>
  <si>
    <t>(1 Set) Konektor Header 3 Pin 3.96mm Lock 3p 3.96 mm Male Female 3pin</t>
  </si>
  <si>
    <t>(1 Set) Connector JST 3P Pitch 3.96 mm</t>
  </si>
  <si>
    <t>(1 Set) Konektor Header 2 Pin 3.96mm Lock 2p 3.96 mm Male Female 2pin</t>
  </si>
  <si>
    <t>(1 Set) Connector JST 2P Pitch 3.96 mm</t>
  </si>
  <si>
    <t>Header Male Baris 1x40 Pin 2.54mm 1 x 40 FCP 1x40p Hitam</t>
  </si>
  <si>
    <t>Header Male 1x40 Pitch 2.54 mm</t>
  </si>
  <si>
    <t>Header Male Baris 2x40 Pin 2.54mm 2 x 40 FCP 2x40p Hitam</t>
  </si>
  <si>
    <t>Header Male 2x40 Pitch 2.54 mm</t>
  </si>
  <si>
    <t>Header Male Siku 2x40 L 2.54mm 2 x 40 FCP Baris 2x40p Belok R/A</t>
  </si>
  <si>
    <t>Header Male 2x40 Pitch 2.54 mm Right Angle</t>
  </si>
  <si>
    <t>Header Female Baris 2x40 Pin 2.54mm 2 x 20 FCP 2x40p Hitam</t>
  </si>
  <si>
    <t>Header Female 2x40 Pitch 2.54 mm</t>
  </si>
  <si>
    <t>Header Female 2x20 Pin Kaki Panjang pitch 2.54mm 20x2 Double Row Long Pin 2x20p</t>
  </si>
  <si>
    <t>Header Female 2x20 Pitch 2.54 mm Long Pin</t>
  </si>
  <si>
    <t>: Lisu Instruments</t>
  </si>
  <si>
    <t>SS36B 60V 3A Schottky Barrier Rectifier SS36 SMB CTK Electronics</t>
  </si>
  <si>
    <t>Schottky SS36 SMB</t>
  </si>
  <si>
    <t>BCX56 NPN 80V 1A 500mW hfe=100~250 Transistor BJT SOT-89-3 CJ Original</t>
  </si>
  <si>
    <t>Transistor BCX56 SOT-89-3</t>
  </si>
  <si>
    <t>1206 SMD LED SMT Ultra Bright Berbagai Pilihan Warna</t>
  </si>
  <si>
    <t>LED 1206</t>
  </si>
  <si>
    <t>SS36A 60V 3A Schottky Diode SMA DO-214AC SS36 Hottech ORIGINAL</t>
  </si>
  <si>
    <t>Schottky SS36 SMA</t>
  </si>
  <si>
    <t>1uF ±10% 50V X7R 1206 3216(mm) SMD Capacitors MLCC Samsung</t>
  </si>
  <si>
    <t>Capacitor MLCC 1uF 50V X7R 1206</t>
  </si>
  <si>
    <t>100nF 50V X7R ±10% 1206 3216(mm) SMD Ceramic Capacitor CL31B104KBCNNNC</t>
  </si>
  <si>
    <t>Capacitor MLCC 100nF 50V X7R 1206</t>
  </si>
  <si>
    <t>0Ω 1206 ±5% SMD Thick Resistor 0R 0 Walsin WR12X000PTL</t>
  </si>
  <si>
    <t>Resistor 0Ω 1206</t>
  </si>
  <si>
    <r>
      <t>5.1kΩ  1206 ±1% 250mW 200V  ±100ppm/</t>
    </r>
    <r>
      <rPr>
        <sz val="10"/>
        <color theme="1"/>
        <rFont val="Calibri"/>
        <charset val="134"/>
      </rPr>
      <t>℃</t>
    </r>
    <r>
      <rPr>
        <sz val="10"/>
        <color theme="1"/>
        <rFont val="PT Mono Regular"/>
        <charset val="134"/>
      </rPr>
      <t xml:space="preserve"> Thick Film Resistors 5.1K 5K1 5101 RC1206FR-075K1L YAGEO</t>
    </r>
  </si>
  <si>
    <t>Resistor 5.1kΩ  1206</t>
  </si>
  <si>
    <r>
      <t>10kΩ  1206 ±1% 250mW 200V  ±100ppm/</t>
    </r>
    <r>
      <rPr>
        <sz val="10"/>
        <color theme="1"/>
        <rFont val="Calibri"/>
        <charset val="134"/>
      </rPr>
      <t>℃</t>
    </r>
    <r>
      <rPr>
        <sz val="10"/>
        <color theme="1"/>
        <rFont val="PT Mono Regular"/>
        <charset val="134"/>
      </rPr>
      <t xml:space="preserve"> Thick Film Resistors 10k 10 1002 RC1206FR-0710KL YAGEO</t>
    </r>
  </si>
  <si>
    <t>Resistor 10kΩ  1206</t>
  </si>
  <si>
    <t>: StarElektro_NEW</t>
  </si>
  <si>
    <t>LM2576S LM2576HVS ADJ 3.3 5.0 12 IC Regulator Switching SMD To-263-5</t>
  </si>
  <si>
    <t>LM2576S-12 TO-263-5</t>
  </si>
  <si>
    <t>LM2576S-5 TO-263-5</t>
  </si>
  <si>
    <t>LM2576S-3.3 TO-263-5</t>
  </si>
  <si>
    <t>: Dns Electronic</t>
  </si>
  <si>
    <t>WIMA 2n2 630V MKP10</t>
  </si>
  <si>
    <t>Capacitor 2n2 630V MKP10</t>
  </si>
  <si>
    <t>WIMA 3n3 630V MKP10</t>
  </si>
  <si>
    <t>Capacitor 3n3 630V MKP10</t>
  </si>
  <si>
    <t>WIMA 4n7 630V MKP10</t>
  </si>
  <si>
    <t>Capacitor 4n7 630V MKP10</t>
  </si>
  <si>
    <t>: SIKIL GANGSAL</t>
  </si>
  <si>
    <t>Solid kapasitor capasitor elko elco SMD 100uf 50v 10x10 High quality</t>
  </si>
  <si>
    <t>Solid Capacitor 100µf 50v 10x10</t>
  </si>
  <si>
    <t>Solid kapasitor capasitor elko elco SMD 680uf 35v 680uf VZS size 10x10</t>
  </si>
  <si>
    <t>Solid Capacitor 680uf 35v 10x10</t>
  </si>
  <si>
    <t>: Cha's Instrument</t>
  </si>
  <si>
    <t>ESP32 S3 WROOM ESP32-S3-WROOM-1U Chip Module 8MB PSRAM</t>
  </si>
  <si>
    <t>ESP32-S3-WROOM-1U N16R8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</si>
</sst>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 * #,##0_ ;_ * \-#,##0_ ;_ * &quot;-&quot;??_ ;_ @_ "/>
  </numFmts>
  <fonts count="24">
    <font>
      <sz val="11"/>
      <color theme="1"/>
      <name val="Calibri"/>
      <charset val="134"/>
      <scheme val="minor"/>
    </font>
    <font>
      <sz val="10"/>
      <color theme="1"/>
      <name val="PT Mono Regular"/>
      <charset val="134"/>
    </font>
    <font>
      <b/>
      <sz val="10"/>
      <color theme="1"/>
      <name val="PT Mono Regular"/>
      <charset val="134"/>
    </font>
    <font>
      <sz val="10"/>
      <color theme="1"/>
      <name val="PT Mono Bold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theme="1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178" fontId="1" fillId="2" borderId="1" xfId="1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49" fontId="1" fillId="2" borderId="1" xfId="0" applyNumberFormat="1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1" fillId="0" borderId="1" xfId="0" applyFont="1" applyBorder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horizontal="right" vertical="center"/>
    </xf>
    <xf numFmtId="178" fontId="2" fillId="2" borderId="1" xfId="1" applyNumberFormat="1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0" xfId="6">
      <alignment vertical="center"/>
    </xf>
    <xf numFmtId="0" fontId="5" fillId="0" borderId="0" xfId="6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tokopedia.com/lisuinstrument/10k-1206-1-250mw-200v-100ppm-thick-film-resistors-10k-10-1002-rc1206fr-0710kl-yageo" TargetMode="External"/><Relationship Id="rId8" Type="http://schemas.openxmlformats.org/officeDocument/2006/relationships/hyperlink" Target="https://www.tokopedia.com/lisuinstrument/5-1k-1206-1-250mw-200v-100ppm-thick-film-resistors-5-1k-5k1-5101-rc1206fr-075k1l-yageo" TargetMode="External"/><Relationship Id="rId7" Type="http://schemas.openxmlformats.org/officeDocument/2006/relationships/hyperlink" Target="https://www.tokopedia.com/lisuinstrument/0-1206-5-smd-thick-resistor-0r-0-walsin-wr12x000ptl-1731697760176997861" TargetMode="External"/><Relationship Id="rId6" Type="http://schemas.openxmlformats.org/officeDocument/2006/relationships/hyperlink" Target="https://www.tokopedia.com/lisuinstrument/ss36a-60v-3a-schottky-diode-sma-do-214ac-ss36-hottech-original" TargetMode="External"/><Relationship Id="rId5" Type="http://schemas.openxmlformats.org/officeDocument/2006/relationships/hyperlink" Target="https://www.tokopedia.com/lisuinstrument/1206-smd-led-smt-ultra-bright-berbagai-pilihan-warna-merah" TargetMode="External"/><Relationship Id="rId4" Type="http://schemas.openxmlformats.org/officeDocument/2006/relationships/hyperlink" Target="https://www.tokopedia.com/lisuinstrument/bcx56-npn-80v-1a-500mw-hfe-100-250-transistor-bjt-sot-89-3-cj-original" TargetMode="External"/><Relationship Id="rId3" Type="http://schemas.openxmlformats.org/officeDocument/2006/relationships/hyperlink" Target="https://www.tokopedia.com/putraniagabdg/pc817-optocoupler-pc-817-dip-4pin-pc817-1-high-quality" TargetMode="External"/><Relationship Id="rId26" Type="http://schemas.openxmlformats.org/officeDocument/2006/relationships/hyperlink" Target="https://www.tokopedia.com/elantech/induktor-smd-100uh-1-7a-101-pcs127-12x12x7mm-smt-viking-tech-power-inductor-elantech-1731226397539337633" TargetMode="External"/><Relationship Id="rId25" Type="http://schemas.openxmlformats.org/officeDocument/2006/relationships/hyperlink" Target="https://www.tokopedia.com/putraniagabdg/header-male-baris-2x40-pin-2-54mm-2-x-40-fcp-2x40p-hitam" TargetMode="External"/><Relationship Id="rId24" Type="http://schemas.openxmlformats.org/officeDocument/2006/relationships/hyperlink" Target="https://www.tokopedia.com/putraniagabdg/header-male-baris-1x40-pin-2-54mm-1-x-40-fcp-1x40p-hitam-1729809669501388072" TargetMode="External"/><Relationship Id="rId23" Type="http://schemas.openxmlformats.org/officeDocument/2006/relationships/hyperlink" Target="https://www.tokopedia.com/putraniagabdg/header-male-siku-2x40-l-2-54mm-2-x-40-fcp-baris-2x40p-belok-r-a-1729824156178613544" TargetMode="External"/><Relationship Id="rId22" Type="http://schemas.openxmlformats.org/officeDocument/2006/relationships/hyperlink" Target="https://www.tokopedia.com/putraniagabdg/1-set-konektor-header-3-pin-3-96mm-lock-3p-3-96-mm-male-female-3pin" TargetMode="External"/><Relationship Id="rId21" Type="http://schemas.openxmlformats.org/officeDocument/2006/relationships/hyperlink" Target="https://www.tokopedia.com/putraniagabdg/1-set-konektor-header-2-pin-3-96mm-lock-2p-3-96-mm-male-female-2pin" TargetMode="External"/><Relationship Id="rId20" Type="http://schemas.openxmlformats.org/officeDocument/2006/relationships/hyperlink" Target="https://www.tokopedia.com/putraniagabdg/tantalum-smd-22uf-10v-kapasitor-22-uf-kode-226-dimensi-3528" TargetMode="External"/><Relationship Id="rId2" Type="http://schemas.openxmlformats.org/officeDocument/2006/relationships/hyperlink" Target="https://www.tokopedia.com/putraniagabdg/push-on-4p-mini-pcb-tact-switch-tombol-reset-4pin-tinggi-4-3mm" TargetMode="External"/><Relationship Id="rId19" Type="http://schemas.openxmlformats.org/officeDocument/2006/relationships/hyperlink" Target="https://www.tokopedia.com/starelektro-1/lm2576s-lm2576hvs-adj-3-3-5-0-12-ic-regulator-switching-smd-to-263-5-4pcs-3-3volt-406d1" TargetMode="External"/><Relationship Id="rId18" Type="http://schemas.openxmlformats.org/officeDocument/2006/relationships/hyperlink" Target="https://www.tokopedia.com/starelektro-1/lm2576s-lm2576hvs-adj-3-3-5-0-12-ic-regulator-switching-smd-to-263-5-4pcs-5volt-61057" TargetMode="External"/><Relationship Id="rId17" Type="http://schemas.openxmlformats.org/officeDocument/2006/relationships/hyperlink" Target="https://www.tokopedia.com/starelektro-1/lm2576s-lm2576hvs-adj-3-3-5-0-12-ic-regulator-switching-smd-to-263-5-4pcs-12volt-cfe9f" TargetMode="External"/><Relationship Id="rId16" Type="http://schemas.openxmlformats.org/officeDocument/2006/relationships/hyperlink" Target="https://www.tokopedia.com/the-diy-store/esp32-s3-wroom-esp32-s3-wroom-1u-chip-module-8mb-psram-n16r8-16mb" TargetMode="External"/><Relationship Id="rId15" Type="http://schemas.openxmlformats.org/officeDocument/2006/relationships/hyperlink" Target="https://www.tokopedia.com/lisuinstrument/ss36b-60v-3a-schottky-barrier-rectifier-ss36-smb-ctk-electronics" TargetMode="External"/><Relationship Id="rId14" Type="http://schemas.openxmlformats.org/officeDocument/2006/relationships/hyperlink" Target="https://www.tokopedia.com/smgjayatronik/cd4071bcm-cd4071-smd-ic-4071" TargetMode="External"/><Relationship Id="rId13" Type="http://schemas.openxmlformats.org/officeDocument/2006/relationships/hyperlink" Target="https://www.tokopedia.com/jayenk/solid-kapasitor-capasitor-elko-elco-smd-680uf-35v-680uf-vzs-size-10x10" TargetMode="External"/><Relationship Id="rId12" Type="http://schemas.openxmlformats.org/officeDocument/2006/relationships/hyperlink" Target="https://www.tokopedia.com/jayenk/solid-kapasitor-capasitor-elko-elco-smd-100uf-50v-10x10-high-quality" TargetMode="External"/><Relationship Id="rId11" Type="http://schemas.openxmlformats.org/officeDocument/2006/relationships/hyperlink" Target="https://www.tokopedia.com/lisuinstrument/1uf-10-50v-x7r-1206-3216-mm-smd-capacitors-mlcc-samsung" TargetMode="External"/><Relationship Id="rId10" Type="http://schemas.openxmlformats.org/officeDocument/2006/relationships/hyperlink" Target="https://www.tokopedia.com/lisuinstrument/100nf-50v-x7r-10-1206-3216-mm-smd-ceramic-capacitor-cl31b104kbcnnnc" TargetMode="External"/><Relationship Id="rId1" Type="http://schemas.openxmlformats.org/officeDocument/2006/relationships/hyperlink" Target="https://www.tokopedia.com/celectro/relay-g5v-1-5vdc" TargetMode="Externa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tokopedia.com/lisuinstrument/10k-1206-1-250mw-200v-100ppm-thick-film-resistors-10k-10-1002-rc1206fr-0710kl-yageo" TargetMode="External"/><Relationship Id="rId8" Type="http://schemas.openxmlformats.org/officeDocument/2006/relationships/hyperlink" Target="https://www.tokopedia.com/lisuinstrument/5-1k-1206-1-250mw-200v-100ppm-thick-film-resistors-5-1k-5k1-5101-rc1206fr-075k1l-yageo" TargetMode="External"/><Relationship Id="rId7" Type="http://schemas.openxmlformats.org/officeDocument/2006/relationships/hyperlink" Target="https://www.tokopedia.com/lisuinstrument/0-1206-5-smd-thick-resistor-0r-0-walsin-wr12x000ptl-1731697760176997861" TargetMode="External"/><Relationship Id="rId6" Type="http://schemas.openxmlformats.org/officeDocument/2006/relationships/hyperlink" Target="https://www.tokopedia.com/lisuinstrument/ss36a-60v-3a-schottky-diode-sma-do-214ac-ss36-hottech-original" TargetMode="External"/><Relationship Id="rId5" Type="http://schemas.openxmlformats.org/officeDocument/2006/relationships/hyperlink" Target="https://www.tokopedia.com/lisuinstrument/1206-smd-led-smt-ultra-bright-berbagai-pilihan-warna-merah" TargetMode="External"/><Relationship Id="rId4" Type="http://schemas.openxmlformats.org/officeDocument/2006/relationships/hyperlink" Target="https://www.tokopedia.com/lisuinstrument/bcx56-npn-80v-1a-500mw-hfe-100-250-transistor-bjt-sot-89-3-cj-original" TargetMode="External"/><Relationship Id="rId3" Type="http://schemas.openxmlformats.org/officeDocument/2006/relationships/hyperlink" Target="https://www.tokopedia.com/putraniagabdg/pc817-optocoupler-pc-817-dip-4pin-pc817-1-high-quality" TargetMode="External"/><Relationship Id="rId26" Type="http://schemas.openxmlformats.org/officeDocument/2006/relationships/hyperlink" Target="https://www.tokopedia.com/elantech/induktor-smd-100uh-1-7a-101-pcs127-12x12x7mm-smt-viking-tech-power-inductor-elantech-1731226397539337633" TargetMode="External"/><Relationship Id="rId25" Type="http://schemas.openxmlformats.org/officeDocument/2006/relationships/hyperlink" Target="https://www.tokopedia.com/putraniagabdg/header-male-baris-2x40-pin-2-54mm-2-x-40-fcp-2x40p-hitam" TargetMode="External"/><Relationship Id="rId24" Type="http://schemas.openxmlformats.org/officeDocument/2006/relationships/hyperlink" Target="https://www.tokopedia.com/putraniagabdg/header-male-baris-1x40-pin-2-54mm-1-x-40-fcp-1x40p-hitam-1729809669501388072" TargetMode="External"/><Relationship Id="rId23" Type="http://schemas.openxmlformats.org/officeDocument/2006/relationships/hyperlink" Target="https://www.tokopedia.com/putraniagabdg/header-male-siku-2x40-l-2-54mm-2-x-40-fcp-baris-2x40p-belok-r-a-1729824156178613544" TargetMode="External"/><Relationship Id="rId22" Type="http://schemas.openxmlformats.org/officeDocument/2006/relationships/hyperlink" Target="https://www.tokopedia.com/putraniagabdg/1-set-konektor-header-3-pin-3-96mm-lock-3p-3-96-mm-male-female-3pin" TargetMode="External"/><Relationship Id="rId21" Type="http://schemas.openxmlformats.org/officeDocument/2006/relationships/hyperlink" Target="https://www.tokopedia.com/putraniagabdg/1-set-konektor-header-2-pin-3-96mm-lock-2p-3-96-mm-male-female-2pin" TargetMode="External"/><Relationship Id="rId20" Type="http://schemas.openxmlformats.org/officeDocument/2006/relationships/hyperlink" Target="https://www.tokopedia.com/putraniagabdg/tantalum-smd-22uf-10v-kapasitor-22-uf-kode-226-dimensi-3528" TargetMode="External"/><Relationship Id="rId2" Type="http://schemas.openxmlformats.org/officeDocument/2006/relationships/hyperlink" Target="https://www.tokopedia.com/putraniagabdg/push-on-4p-mini-pcb-tact-switch-tombol-reset-4pin-tinggi-4-3mm" TargetMode="External"/><Relationship Id="rId19" Type="http://schemas.openxmlformats.org/officeDocument/2006/relationships/hyperlink" Target="https://www.tokopedia.com/starelektro-1/lm2576s-lm2576hvs-adj-3-3-5-0-12-ic-regulator-switching-smd-to-263-5-4pcs-3-3volt-406d1" TargetMode="External"/><Relationship Id="rId18" Type="http://schemas.openxmlformats.org/officeDocument/2006/relationships/hyperlink" Target="https://www.tokopedia.com/starelektro-1/lm2576s-lm2576hvs-adj-3-3-5-0-12-ic-regulator-switching-smd-to-263-5-4pcs-5volt-61057" TargetMode="External"/><Relationship Id="rId17" Type="http://schemas.openxmlformats.org/officeDocument/2006/relationships/hyperlink" Target="https://www.tokopedia.com/starelektro-1/lm2576s-lm2576hvs-adj-3-3-5-0-12-ic-regulator-switching-smd-to-263-5-4pcs-12volt-cfe9f" TargetMode="External"/><Relationship Id="rId16" Type="http://schemas.openxmlformats.org/officeDocument/2006/relationships/hyperlink" Target="https://www.tokopedia.com/the-diy-store/esp32-s3-wroom-esp32-s3-wroom-1u-chip-module-8mb-psram-n16r8-16mb" TargetMode="External"/><Relationship Id="rId15" Type="http://schemas.openxmlformats.org/officeDocument/2006/relationships/hyperlink" Target="https://www.tokopedia.com/lisuinstrument/ss36b-60v-3a-schottky-barrier-rectifier-ss36-smb-ctk-electronics" TargetMode="External"/><Relationship Id="rId14" Type="http://schemas.openxmlformats.org/officeDocument/2006/relationships/hyperlink" Target="https://www.tokopedia.com/smgjayatronik/cd4071bcm-cd4071-smd-ic-4071" TargetMode="External"/><Relationship Id="rId13" Type="http://schemas.openxmlformats.org/officeDocument/2006/relationships/hyperlink" Target="https://www.tokopedia.com/jayenk/solid-kapasitor-capasitor-elko-elco-smd-680uf-35v-680uf-vzs-size-10x10" TargetMode="External"/><Relationship Id="rId12" Type="http://schemas.openxmlformats.org/officeDocument/2006/relationships/hyperlink" Target="https://www.tokopedia.com/jayenk/solid-kapasitor-capasitor-elko-elco-smd-100uf-50v-10x10-high-quality" TargetMode="External"/><Relationship Id="rId11" Type="http://schemas.openxmlformats.org/officeDocument/2006/relationships/hyperlink" Target="https://www.tokopedia.com/lisuinstrument/1uf-10-50v-x7r-1206-3216-mm-smd-capacitors-mlcc-samsung" TargetMode="External"/><Relationship Id="rId10" Type="http://schemas.openxmlformats.org/officeDocument/2006/relationships/hyperlink" Target="https://www.tokopedia.com/lisuinstrument/100nf-50v-x7r-10-1206-3216-mm-smd-ceramic-capacitor-cl31b104kbcnnnc" TargetMode="External"/><Relationship Id="rId1" Type="http://schemas.openxmlformats.org/officeDocument/2006/relationships/hyperlink" Target="https://www.tokopedia.com/celectro/relay-g5v-1-5vdc" TargetMode="Externa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tokopedia.com/deltaelektronic/mkm-2n7-wesco" TargetMode="External"/><Relationship Id="rId8" Type="http://schemas.openxmlformats.org/officeDocument/2006/relationships/hyperlink" Target="https://www.tokopedia.com/deltaelektronic" TargetMode="External"/><Relationship Id="rId7" Type="http://schemas.openxmlformats.org/officeDocument/2006/relationships/hyperlink" Target="https://www.tokopedia.com/celectro/relay-g5v-1-5vdc" TargetMode="External"/><Relationship Id="rId6" Type="http://schemas.openxmlformats.org/officeDocument/2006/relationships/hyperlink" Target="https://www.tokopedia.com/celectro" TargetMode="External"/><Relationship Id="rId5" Type="http://schemas.openxmlformats.org/officeDocument/2006/relationships/hyperlink" Target="https://www.tokopedia.com/smgjayatronik" TargetMode="External"/><Relationship Id="rId45" Type="http://schemas.openxmlformats.org/officeDocument/2006/relationships/hyperlink" Target="https://www.tokopedia.com/the-diy-store" TargetMode="External"/><Relationship Id="rId44" Type="http://schemas.openxmlformats.org/officeDocument/2006/relationships/hyperlink" Target="https://www.tokopedia.com/the-diy-store/esp32-s3-wroom-esp32-s3-wroom-1u-chip-module-8mb-psram-n16r8-16mb" TargetMode="External"/><Relationship Id="rId43" Type="http://schemas.openxmlformats.org/officeDocument/2006/relationships/hyperlink" Target="https://www.tokopedia.com/jayenk/solid-kapasitor-capasitor-elko-elco-smd-680uf-35v-680uf-vzs-size-10x10" TargetMode="External"/><Relationship Id="rId42" Type="http://schemas.openxmlformats.org/officeDocument/2006/relationships/hyperlink" Target="https://www.tokopedia.com/jayenk/solid-kapasitor-capasitor-elko-elco-smd-100uf-50v-10x10-high-quality" TargetMode="External"/><Relationship Id="rId41" Type="http://schemas.openxmlformats.org/officeDocument/2006/relationships/hyperlink" Target="https://www.tokopedia.com/dnselectronic/wima-4n7-630v-mkp10" TargetMode="External"/><Relationship Id="rId40" Type="http://schemas.openxmlformats.org/officeDocument/2006/relationships/hyperlink" Target="https://www.tokopedia.com/dnselectronic/wima-3n3-630v-mkp10" TargetMode="External"/><Relationship Id="rId4" Type="http://schemas.openxmlformats.org/officeDocument/2006/relationships/hyperlink" Target="https://www.tokopedia.com/smgjayatronik/cd4071bcm-cd4071-smd-ic-4071" TargetMode="External"/><Relationship Id="rId39" Type="http://schemas.openxmlformats.org/officeDocument/2006/relationships/hyperlink" Target="https://www.tokopedia.com/dnselectronic/wima-2n2-630v-mkp10" TargetMode="External"/><Relationship Id="rId38" Type="http://schemas.openxmlformats.org/officeDocument/2006/relationships/hyperlink" Target="https://www.tokopedia.com/dnselectronic" TargetMode="External"/><Relationship Id="rId37" Type="http://schemas.openxmlformats.org/officeDocument/2006/relationships/hyperlink" Target="https://www.tokopedia.com/starelektro-1" TargetMode="External"/><Relationship Id="rId36" Type="http://schemas.openxmlformats.org/officeDocument/2006/relationships/hyperlink" Target="https://www.tokopedia.com/starelektro-1/lm2576s-lm2576hvs-adj-3-3-5-0-12-ic-regulator-switching-smd-to-263-5-4pcs-3-3volt-406d1" TargetMode="External"/><Relationship Id="rId35" Type="http://schemas.openxmlformats.org/officeDocument/2006/relationships/hyperlink" Target="https://www.tokopedia.com/starelektro-1/lm2576s-lm2576hvs-adj-3-3-5-0-12-ic-regulator-switching-smd-to-263-5-4pcs-5volt-61057" TargetMode="External"/><Relationship Id="rId34" Type="http://schemas.openxmlformats.org/officeDocument/2006/relationships/hyperlink" Target="https://www.tokopedia.com/starelektro-1/lm2576s-lm2576hvs-adj-3-3-5-0-12-ic-regulator-switching-smd-to-263-5-4pcs-12volt-cfe9f" TargetMode="External"/><Relationship Id="rId33" Type="http://schemas.openxmlformats.org/officeDocument/2006/relationships/hyperlink" Target="https://www.tokopedia.com/lisuinstrument/10k-1206-1-250mw-200v-100ppm-thick-film-resistors-10k-10-1002-rc1206fr-0710kl-yageo" TargetMode="External"/><Relationship Id="rId32" Type="http://schemas.openxmlformats.org/officeDocument/2006/relationships/hyperlink" Target="https://www.tokopedia.com/lisuinstrument/5-1k-1206-1-250mw-200v-100ppm-thick-film-resistors-5-1k-5k1-5101-rc1206fr-075k1l-yageo" TargetMode="External"/><Relationship Id="rId31" Type="http://schemas.openxmlformats.org/officeDocument/2006/relationships/hyperlink" Target="https://www.tokopedia.com/lisuinstrument/0-1206-5-smd-thick-resistor-0r-0-walsin-wr12x000ptl-1731697760176997861" TargetMode="External"/><Relationship Id="rId30" Type="http://schemas.openxmlformats.org/officeDocument/2006/relationships/hyperlink" Target="https://www.tokopedia.com/lisuinstrument/100nf-50v-x7r-10-1206-3216-mm-smd-ceramic-capacitor-cl31b104kbcnnnc" TargetMode="External"/><Relationship Id="rId3" Type="http://schemas.openxmlformats.org/officeDocument/2006/relationships/hyperlink" Target="https://www.tokopedia.com/smgjayatronik/pcb-ic-titik-matrix-tw-19-5-x-9-cm" TargetMode="External"/><Relationship Id="rId29" Type="http://schemas.openxmlformats.org/officeDocument/2006/relationships/hyperlink" Target="https://www.tokopedia.com/lisuinstrument/1uf-10-50v-x7r-1206-3216-mm-smd-capacitors-mlcc-samsung" TargetMode="External"/><Relationship Id="rId28" Type="http://schemas.openxmlformats.org/officeDocument/2006/relationships/hyperlink" Target="https://www.tokopedia.com/lisuinstrument/ss36a-60v-3a-schottky-diode-sma-do-214ac-ss36-hottech-original" TargetMode="External"/><Relationship Id="rId27" Type="http://schemas.openxmlformats.org/officeDocument/2006/relationships/hyperlink" Target="https://www.tokopedia.com/lisuinstrument/1206-smd-led-smt-ultra-bright-berbagai-pilihan-warna-merah" TargetMode="External"/><Relationship Id="rId26" Type="http://schemas.openxmlformats.org/officeDocument/2006/relationships/hyperlink" Target="https://www.tokopedia.com/lisuinstrument/bcx56-npn-80v-1a-500mw-hfe-100-250-transistor-bjt-sot-89-3-cj-original" TargetMode="External"/><Relationship Id="rId25" Type="http://schemas.openxmlformats.org/officeDocument/2006/relationships/hyperlink" Target="https://www.tokopedia.com/lisuinstrument/ss36b-60v-3a-schottky-barrier-rectifier-ss36-smb-ctk-electronics" TargetMode="External"/><Relationship Id="rId24" Type="http://schemas.openxmlformats.org/officeDocument/2006/relationships/hyperlink" Target="https://www.tokopedia.com/lisuinstrument" TargetMode="External"/><Relationship Id="rId23" Type="http://schemas.openxmlformats.org/officeDocument/2006/relationships/hyperlink" Target="https://www.tokopedia.com/putraniagabdg/tantalum-smd-22uf-10v-kapasitor-22-uf-kode-226-dimensi-3528" TargetMode="External"/><Relationship Id="rId22" Type="http://schemas.openxmlformats.org/officeDocument/2006/relationships/hyperlink" Target="https://www.tokopedia.com/putraniagabdg/1-set-konektor-header-3-pin-3-96mm-lock-3p-3-96-mm-male-female-3pin" TargetMode="External"/><Relationship Id="rId21" Type="http://schemas.openxmlformats.org/officeDocument/2006/relationships/hyperlink" Target="https://www.tokopedia.com/putraniagabdg/1-set-konektor-header-2-pin-3-96mm-lock-2p-3-96-mm-male-female-2pin" TargetMode="External"/><Relationship Id="rId20" Type="http://schemas.openxmlformats.org/officeDocument/2006/relationships/hyperlink" Target="https://www.tokopedia.com/putraniagabdg/1-set-konektor-header-5-pin-3-96mm-lock-5p-3-96-mm-male-female-5pin-1729814123560600872" TargetMode="External"/><Relationship Id="rId2" Type="http://schemas.openxmlformats.org/officeDocument/2006/relationships/hyperlink" Target="https://www.tokopedia.com/smgjayatronik/cd4071be-cd4071-ic-4071-pdip-14-1729801493127333767" TargetMode="External"/><Relationship Id="rId19" Type="http://schemas.openxmlformats.org/officeDocument/2006/relationships/hyperlink" Target="https://www.tokopedia.com/putraniagabdg/header-male-baris-1x40-pin-2-54mm-1-x-40-fcp-1x40p-hitam-1729809669501388072" TargetMode="External"/><Relationship Id="rId18" Type="http://schemas.openxmlformats.org/officeDocument/2006/relationships/hyperlink" Target="https://www.tokopedia.com/putraniagabdg/header-male-siku-2x40-l-2-54mm-2-x-40-fcp-baris-2x40p-belok-r-a-1729824156178613544" TargetMode="External"/><Relationship Id="rId17" Type="http://schemas.openxmlformats.org/officeDocument/2006/relationships/hyperlink" Target="https://www.tokopedia.com/putraniagabdg/header-male-baris-2x40-pin-2-54mm-2-x-40-fcp-2x40p-hitam" TargetMode="External"/><Relationship Id="rId16" Type="http://schemas.openxmlformats.org/officeDocument/2006/relationships/hyperlink" Target="https://www.tokopedia.com/putraniagabdg/header-female-baris-2x40-pin-2-54mm-2-x-20-fcp-2x40p-hitam" TargetMode="External"/><Relationship Id="rId15" Type="http://schemas.openxmlformats.org/officeDocument/2006/relationships/hyperlink" Target="https://www.tokopedia.com/putraniagabdg/pc817-optocoupler-pc-817-dip-4pin-pc817-1-high-quality" TargetMode="External"/><Relationship Id="rId14" Type="http://schemas.openxmlformats.org/officeDocument/2006/relationships/hyperlink" Target="https://www.tokopedia.com/putraniagabdg/push-on-4p-mini-pcb-tact-switch-tombol-reset-4pin-tinggi-4-3mm" TargetMode="External"/><Relationship Id="rId13" Type="http://schemas.openxmlformats.org/officeDocument/2006/relationships/hyperlink" Target="https://www.tokopedia.com/putraniagabdg/header-female-2x20-pin-kaki-panjang-pitch-2-54mm-20x2-double-row-long-pin-2x20p" TargetMode="External"/><Relationship Id="rId12" Type="http://schemas.openxmlformats.org/officeDocument/2006/relationships/hyperlink" Target="https://www.tokopedia.com/putraniagabdg" TargetMode="External"/><Relationship Id="rId11" Type="http://schemas.openxmlformats.org/officeDocument/2006/relationships/hyperlink" Target="https://www.tokopedia.com/mitrus-539/kawat-tembaga-email-0-20-mm-enamel-wire-cooper-gulung-dinamo-ilmail-1" TargetMode="External"/><Relationship Id="rId10" Type="http://schemas.openxmlformats.org/officeDocument/2006/relationships/hyperlink" Target="https://www.tokopedia.com/mitrus-539" TargetMode="External"/><Relationship Id="rId1" Type="http://schemas.openxmlformats.org/officeDocument/2006/relationships/hyperlink" Target="https://www.tokopedia.com/smgjayatronik/socket-ic-14-pin-socket-14-p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"/>
  <sheetViews>
    <sheetView zoomScale="80" zoomScaleNormal="80" workbookViewId="0">
      <selection activeCell="C35" sqref="C35"/>
    </sheetView>
  </sheetViews>
  <sheetFormatPr defaultColWidth="9" defaultRowHeight="16.8" outlineLevelCol="7"/>
  <cols>
    <col min="1" max="1" width="10.5" style="21"/>
    <col min="2" max="3" width="8.5625" customWidth="1"/>
    <col min="4" max="4" width="20.5625" style="21" customWidth="1"/>
    <col min="5" max="5" width="23.5" style="21" customWidth="1"/>
    <col min="6" max="6" width="51.5" customWidth="1"/>
    <col min="7" max="7" width="9" style="21"/>
  </cols>
  <sheetData>
    <row r="1" spans="1:7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t="s">
        <v>5</v>
      </c>
      <c r="G1" s="21" t="s">
        <v>6</v>
      </c>
    </row>
    <row r="2" ht="68" spans="1:8">
      <c r="A2" s="21">
        <v>1</v>
      </c>
      <c r="B2" s="21" t="s">
        <v>7</v>
      </c>
      <c r="D2" s="22" t="s">
        <v>8</v>
      </c>
      <c r="E2" s="21" t="s">
        <v>9</v>
      </c>
      <c r="F2" t="s">
        <v>10</v>
      </c>
      <c r="G2" s="21">
        <v>16</v>
      </c>
      <c r="H2" s="23" t="s">
        <v>11</v>
      </c>
    </row>
    <row r="3" ht="17" spans="1:8">
      <c r="A3" s="21">
        <v>2</v>
      </c>
      <c r="B3" s="21" t="s">
        <v>7</v>
      </c>
      <c r="D3" s="22" t="s">
        <v>12</v>
      </c>
      <c r="E3" s="21" t="s">
        <v>13</v>
      </c>
      <c r="F3" t="s">
        <v>10</v>
      </c>
      <c r="G3" s="21">
        <v>2</v>
      </c>
      <c r="H3" s="23" t="s">
        <v>14</v>
      </c>
    </row>
    <row r="4" ht="17" spans="1:8">
      <c r="A4" s="21">
        <v>3</v>
      </c>
      <c r="B4" s="21" t="s">
        <v>7</v>
      </c>
      <c r="D4" s="22" t="s">
        <v>15</v>
      </c>
      <c r="E4" s="21">
        <v>0</v>
      </c>
      <c r="F4" t="s">
        <v>10</v>
      </c>
      <c r="G4" s="21">
        <v>1</v>
      </c>
      <c r="H4" s="23" t="s">
        <v>16</v>
      </c>
    </row>
    <row r="5" ht="17" spans="1:8">
      <c r="A5" s="21">
        <v>4</v>
      </c>
      <c r="B5" s="21" t="s">
        <v>7</v>
      </c>
      <c r="D5" s="22" t="s">
        <v>17</v>
      </c>
      <c r="E5" s="21" t="s">
        <v>18</v>
      </c>
      <c r="F5" t="s">
        <v>19</v>
      </c>
      <c r="G5" s="21">
        <v>3</v>
      </c>
      <c r="H5" s="23" t="s">
        <v>20</v>
      </c>
    </row>
    <row r="6" ht="17" spans="1:8">
      <c r="A6" s="21">
        <v>5</v>
      </c>
      <c r="B6" s="21" t="s">
        <v>7</v>
      </c>
      <c r="D6" s="22" t="s">
        <v>21</v>
      </c>
      <c r="E6" s="21" t="s">
        <v>22</v>
      </c>
      <c r="F6" t="s">
        <v>19</v>
      </c>
      <c r="G6" s="21">
        <v>3</v>
      </c>
      <c r="H6" s="23" t="s">
        <v>23</v>
      </c>
    </row>
    <row r="7" ht="17" spans="1:8">
      <c r="A7" s="21">
        <v>6</v>
      </c>
      <c r="B7" s="21" t="s">
        <v>7</v>
      </c>
      <c r="D7" s="22" t="s">
        <v>24</v>
      </c>
      <c r="E7" s="21" t="s">
        <v>25</v>
      </c>
      <c r="F7" t="s">
        <v>26</v>
      </c>
      <c r="G7" s="21">
        <v>3</v>
      </c>
      <c r="H7" s="23" t="s">
        <v>27</v>
      </c>
    </row>
    <row r="8" ht="17" spans="1:8">
      <c r="A8" s="21">
        <v>7</v>
      </c>
      <c r="B8" s="21" t="s">
        <v>7</v>
      </c>
      <c r="D8" s="22" t="s">
        <v>28</v>
      </c>
      <c r="E8" s="21" t="s">
        <v>29</v>
      </c>
      <c r="F8" t="s">
        <v>26</v>
      </c>
      <c r="G8" s="21">
        <v>1</v>
      </c>
      <c r="H8" s="23" t="s">
        <v>30</v>
      </c>
    </row>
    <row r="9" ht="17" spans="1:8">
      <c r="A9" s="21">
        <v>8</v>
      </c>
      <c r="B9" s="21" t="s">
        <v>7</v>
      </c>
      <c r="D9" s="22" t="s">
        <v>31</v>
      </c>
      <c r="E9" s="21" t="s">
        <v>32</v>
      </c>
      <c r="F9" t="s">
        <v>33</v>
      </c>
      <c r="G9" s="21">
        <v>1</v>
      </c>
      <c r="H9" s="24" t="s">
        <v>34</v>
      </c>
    </row>
    <row r="10" ht="17" spans="1:8">
      <c r="A10" s="21">
        <v>9</v>
      </c>
      <c r="B10" s="21" t="s">
        <v>7</v>
      </c>
      <c r="D10" s="22" t="s">
        <v>35</v>
      </c>
      <c r="E10" s="21" t="s">
        <v>36</v>
      </c>
      <c r="F10" t="s">
        <v>37</v>
      </c>
      <c r="G10" s="21">
        <v>3</v>
      </c>
      <c r="H10" s="23" t="s">
        <v>38</v>
      </c>
    </row>
    <row r="11" ht="17" spans="1:8">
      <c r="A11" s="21">
        <v>10</v>
      </c>
      <c r="B11" s="21" t="s">
        <v>7</v>
      </c>
      <c r="D11" s="22" t="s">
        <v>39</v>
      </c>
      <c r="E11" s="21" t="s">
        <v>40</v>
      </c>
      <c r="F11" t="s">
        <v>41</v>
      </c>
      <c r="G11" s="21">
        <v>3</v>
      </c>
      <c r="H11" s="23" t="s">
        <v>42</v>
      </c>
    </row>
    <row r="12" ht="17" spans="1:8">
      <c r="A12" s="21">
        <v>11</v>
      </c>
      <c r="B12" s="21" t="s">
        <v>7</v>
      </c>
      <c r="D12" s="22" t="s">
        <v>43</v>
      </c>
      <c r="E12" s="21" t="s">
        <v>44</v>
      </c>
      <c r="F12" t="s">
        <v>45</v>
      </c>
      <c r="G12" s="21">
        <v>3</v>
      </c>
      <c r="H12" s="23" t="s">
        <v>46</v>
      </c>
    </row>
    <row r="13" ht="17" spans="1:8">
      <c r="A13" s="21">
        <v>12</v>
      </c>
      <c r="B13" s="21" t="s">
        <v>7</v>
      </c>
      <c r="D13" s="22" t="s">
        <v>47</v>
      </c>
      <c r="E13" s="21" t="s">
        <v>48</v>
      </c>
      <c r="F13" t="s">
        <v>49</v>
      </c>
      <c r="G13" s="21">
        <v>1</v>
      </c>
      <c r="H13" s="23" t="s">
        <v>50</v>
      </c>
    </row>
    <row r="14" ht="17" spans="1:8">
      <c r="A14" s="21">
        <v>13</v>
      </c>
      <c r="B14" s="21" t="s">
        <v>7</v>
      </c>
      <c r="D14" s="22" t="s">
        <v>51</v>
      </c>
      <c r="E14" s="21" t="s">
        <v>52</v>
      </c>
      <c r="F14" t="s">
        <v>53</v>
      </c>
      <c r="G14" s="21">
        <v>2</v>
      </c>
      <c r="H14" s="23" t="s">
        <v>54</v>
      </c>
    </row>
    <row r="15" ht="17" spans="1:8">
      <c r="A15" s="21">
        <v>14</v>
      </c>
      <c r="B15" s="21" t="s">
        <v>7</v>
      </c>
      <c r="D15" s="22" t="s">
        <v>55</v>
      </c>
      <c r="E15" s="21" t="s">
        <v>56</v>
      </c>
      <c r="F15" t="s">
        <v>57</v>
      </c>
      <c r="G15" s="21">
        <v>1</v>
      </c>
      <c r="H15" s="23" t="s">
        <v>58</v>
      </c>
    </row>
    <row r="16" ht="17" spans="1:8">
      <c r="A16" s="21">
        <v>15</v>
      </c>
      <c r="B16" s="21" t="s">
        <v>7</v>
      </c>
      <c r="D16" s="22" t="s">
        <v>59</v>
      </c>
      <c r="E16" s="21" t="s">
        <v>60</v>
      </c>
      <c r="F16" t="s">
        <v>57</v>
      </c>
      <c r="G16" s="21">
        <v>1</v>
      </c>
      <c r="H16" s="23" t="s">
        <v>61</v>
      </c>
    </row>
    <row r="17" ht="17" spans="1:8">
      <c r="A17" s="21">
        <v>16</v>
      </c>
      <c r="B17" s="21" t="s">
        <v>7</v>
      </c>
      <c r="D17" s="22" t="s">
        <v>62</v>
      </c>
      <c r="E17" s="21" t="s">
        <v>63</v>
      </c>
      <c r="F17" t="s">
        <v>57</v>
      </c>
      <c r="G17" s="21">
        <v>1</v>
      </c>
      <c r="H17" s="23" t="s">
        <v>64</v>
      </c>
    </row>
    <row r="18" ht="17" spans="1:8">
      <c r="A18" s="21">
        <v>17</v>
      </c>
      <c r="B18" s="21" t="s">
        <v>7</v>
      </c>
      <c r="D18" s="22" t="s">
        <v>65</v>
      </c>
      <c r="E18" t="s">
        <v>66</v>
      </c>
      <c r="F18" t="s">
        <v>66</v>
      </c>
      <c r="G18" s="21">
        <v>1</v>
      </c>
      <c r="H18" s="23" t="s">
        <v>67</v>
      </c>
    </row>
    <row r="19" ht="17" spans="1:8">
      <c r="A19" s="21">
        <v>18</v>
      </c>
      <c r="B19" s="21" t="s">
        <v>7</v>
      </c>
      <c r="D19" s="22" t="s">
        <v>68</v>
      </c>
      <c r="E19" s="21">
        <v>4071</v>
      </c>
      <c r="F19" t="s">
        <v>69</v>
      </c>
      <c r="G19" s="21">
        <v>1</v>
      </c>
      <c r="H19" s="23" t="s">
        <v>70</v>
      </c>
    </row>
    <row r="20" ht="17" spans="1:8">
      <c r="A20" s="21">
        <v>19</v>
      </c>
      <c r="B20" s="21" t="s">
        <v>7</v>
      </c>
      <c r="D20" s="22" t="s">
        <v>71</v>
      </c>
      <c r="E20" s="21" t="s">
        <v>72</v>
      </c>
      <c r="F20" t="s">
        <v>73</v>
      </c>
      <c r="G20" s="21">
        <v>2</v>
      </c>
      <c r="H20" s="23" t="s">
        <v>74</v>
      </c>
    </row>
    <row r="21" ht="17" spans="1:8">
      <c r="A21" s="21">
        <v>20</v>
      </c>
      <c r="B21" s="21" t="s">
        <v>7</v>
      </c>
      <c r="D21" s="22" t="s">
        <v>75</v>
      </c>
      <c r="E21" s="21" t="s">
        <v>76</v>
      </c>
      <c r="F21" t="s">
        <v>77</v>
      </c>
      <c r="G21" s="21">
        <v>5</v>
      </c>
      <c r="H21" s="23" t="s">
        <v>78</v>
      </c>
    </row>
    <row r="22" ht="17" spans="1:7">
      <c r="A22" s="21">
        <v>21</v>
      </c>
      <c r="B22" s="21" t="s">
        <v>7</v>
      </c>
      <c r="D22" s="22" t="s">
        <v>79</v>
      </c>
      <c r="E22" s="21" t="s">
        <v>80</v>
      </c>
      <c r="F22" t="s">
        <v>81</v>
      </c>
      <c r="G22" s="21">
        <v>3</v>
      </c>
    </row>
    <row r="23" ht="17" spans="1:8">
      <c r="A23" s="21">
        <v>22</v>
      </c>
      <c r="B23" s="21" t="s">
        <v>7</v>
      </c>
      <c r="D23" s="22" t="s">
        <v>82</v>
      </c>
      <c r="E23" s="21" t="s">
        <v>83</v>
      </c>
      <c r="F23" t="s">
        <v>84</v>
      </c>
      <c r="G23" s="21">
        <v>1</v>
      </c>
      <c r="H23" s="23" t="s">
        <v>85</v>
      </c>
    </row>
    <row r="24" ht="17" spans="1:7">
      <c r="A24" s="21">
        <v>23</v>
      </c>
      <c r="B24" s="21" t="s">
        <v>7</v>
      </c>
      <c r="D24" s="22" t="s">
        <v>86</v>
      </c>
      <c r="E24" s="21" t="s">
        <v>87</v>
      </c>
      <c r="F24" t="s">
        <v>88</v>
      </c>
      <c r="G24" s="21">
        <v>2</v>
      </c>
    </row>
    <row r="25" ht="17" spans="1:8">
      <c r="A25" s="21">
        <v>24</v>
      </c>
      <c r="B25" s="21" t="s">
        <v>7</v>
      </c>
      <c r="D25" s="22" t="s">
        <v>89</v>
      </c>
      <c r="E25" s="21" t="s">
        <v>90</v>
      </c>
      <c r="F25" t="s">
        <v>91</v>
      </c>
      <c r="G25" s="21">
        <v>1</v>
      </c>
      <c r="H25" s="23" t="s">
        <v>92</v>
      </c>
    </row>
    <row r="26" ht="17" spans="1:8">
      <c r="A26" s="21">
        <v>25</v>
      </c>
      <c r="B26" s="21" t="s">
        <v>7</v>
      </c>
      <c r="D26" s="22" t="s">
        <v>93</v>
      </c>
      <c r="E26" s="21" t="s">
        <v>94</v>
      </c>
      <c r="F26" t="s">
        <v>95</v>
      </c>
      <c r="G26" s="21">
        <v>1</v>
      </c>
      <c r="H26" s="23" t="s">
        <v>96</v>
      </c>
    </row>
    <row r="27" ht="17" spans="1:8">
      <c r="A27" s="21">
        <v>26</v>
      </c>
      <c r="B27" s="21" t="s">
        <v>7</v>
      </c>
      <c r="D27" s="22" t="s">
        <v>97</v>
      </c>
      <c r="E27" s="21" t="s">
        <v>98</v>
      </c>
      <c r="F27" t="s">
        <v>99</v>
      </c>
      <c r="G27" s="21">
        <v>1</v>
      </c>
      <c r="H27" s="23" t="s">
        <v>100</v>
      </c>
    </row>
    <row r="28" ht="17" spans="1:8">
      <c r="A28" s="21">
        <v>27</v>
      </c>
      <c r="B28" s="21" t="s">
        <v>7</v>
      </c>
      <c r="D28" s="22" t="s">
        <v>101</v>
      </c>
      <c r="E28" s="21" t="s">
        <v>102</v>
      </c>
      <c r="F28" t="s">
        <v>103</v>
      </c>
      <c r="G28" s="21">
        <v>1</v>
      </c>
      <c r="H28" s="23" t="s">
        <v>104</v>
      </c>
    </row>
    <row r="29" ht="17" spans="1:8">
      <c r="A29" s="21">
        <v>28</v>
      </c>
      <c r="B29" s="21" t="s">
        <v>7</v>
      </c>
      <c r="D29" s="22" t="s">
        <v>105</v>
      </c>
      <c r="E29" s="21" t="s">
        <v>87</v>
      </c>
      <c r="F29" t="s">
        <v>106</v>
      </c>
      <c r="G29" s="21">
        <v>1</v>
      </c>
      <c r="H29" s="23" t="s">
        <v>107</v>
      </c>
    </row>
  </sheetData>
  <hyperlinks>
    <hyperlink ref="H23" r:id="rId1" display="https://www.tokopedia.com/celectro/relay-g5v-1-5vdc"/>
    <hyperlink ref="H20" r:id="rId2" display="https://www.tokopedia.com/putraniagabdg/push-on-4p-mini-pcb-tact-switch-tombol-reset-4pin-tinggi-4-3mm"/>
    <hyperlink ref="H14" r:id="rId3" display="https://www.tokopedia.com/putraniagabdg/pc817-optocoupler-pc-817-dip-4pin-pc817-1-high-quality"/>
    <hyperlink ref="H21" r:id="rId4" display="https://www.tokopedia.com/lisuinstrument/bcx56-npn-80v-1a-500mw-hfe-100-250-transistor-bjt-sot-89-3-cj-original"/>
    <hyperlink ref="H12" r:id="rId5" display="https://www.tokopedia.com/lisuinstrument/1206-smd-led-smt-ultra-bright-berbagai-pilihan-warna-merah"/>
    <hyperlink ref="H11" r:id="rId6" display="https://www.tokopedia.com/lisuinstrument/ss36a-60v-3a-schottky-diode-sma-do-214ac-ss36-hottech-original"/>
    <hyperlink ref="H4" r:id="rId7" display="https://www.tokopedia.com/lisuinstrument/0-1206-5-smd-thick-resistor-0r-0-walsin-wr12x000ptl-1731697760176997861"/>
    <hyperlink ref="H3" r:id="rId8" display="https://www.tokopedia.com/lisuinstrument/5-1k-1206-1-250mw-200v-100ppm-thick-film-resistors-5-1k-5k1-5101-rc1206fr-075k1l-yageo"/>
    <hyperlink ref="H2" r:id="rId9" display="https://www.tokopedia.com/lisuinstrument/10k-1206-1-250mw-200v-100ppm-thick-film-resistors-10k-10-1002-rc1206fr-0710kl-yageo"/>
    <hyperlink ref="H7" r:id="rId10" display="https://www.tokopedia.com/lisuinstrument/100nf-50v-x7r-10-1206-3216-mm-smd-ceramic-capacitor-cl31b104kbcnnnc"/>
    <hyperlink ref="H8" r:id="rId11" display="https://www.tokopedia.com/lisuinstrument/1uf-10-50v-x7r-1206-3216-mm-smd-capacitors-mlcc-samsung"/>
    <hyperlink ref="H5" r:id="rId12" display="https://www.tokopedia.com/jayenk/solid-kapasitor-capasitor-elko-elco-smd-100uf-50v-10x10-high-quality"/>
    <hyperlink ref="H6" r:id="rId13" display="https://www.tokopedia.com/jayenk/solid-kapasitor-capasitor-elko-elco-smd-680uf-35v-680uf-vzs-size-10x10"/>
    <hyperlink ref="H19" r:id="rId14" display="https://www.tokopedia.com/smgjayatronik/cd4071bcm-cd4071-smd-ic-4071"/>
    <hyperlink ref="H13" r:id="rId15" display="https://www.tokopedia.com/lisuinstrument/ss36b-60v-3a-schottky-barrier-rectifier-ss36-smb-ctk-electronics"/>
    <hyperlink ref="H18" r:id="rId16" display="https://www.tokopedia.com/the-diy-store/esp32-s3-wroom-esp32-s3-wroom-1u-chip-module-8mb-psram-n16r8-16mb"/>
    <hyperlink ref="H17" r:id="rId17" display="https://www.tokopedia.com/starelektro-1/lm2576s-lm2576hvs-adj-3-3-5-0-12-ic-regulator-switching-smd-to-263-5-4pcs-12volt-cfe9f"/>
    <hyperlink ref="H16" r:id="rId18" display="https://www.tokopedia.com/starelektro-1/lm2576s-lm2576hvs-adj-3-3-5-0-12-ic-regulator-switching-smd-to-263-5-4pcs-5volt-61057"/>
    <hyperlink ref="H15" r:id="rId19" display="https://www.tokopedia.com/starelektro-1/lm2576s-lm2576hvs-adj-3-3-5-0-12-ic-regulator-switching-smd-to-263-5-4pcs-3-3volt-406d1"/>
    <hyperlink ref="H9" r:id="rId20" display="https://www.tokopedia.com/putraniagabdg/tantalum-smd-22uf-10v-kapasitor-22-uf-kode-226-dimensi-3528"/>
    <hyperlink ref="H27" r:id="rId21" display="https://www.tokopedia.com/putraniagabdg/1-set-konektor-header-2-pin-3-96mm-lock-2p-3-96-mm-male-female-2pin"/>
    <hyperlink ref="H26" r:id="rId22" display="https://www.tokopedia.com/putraniagabdg/1-set-konektor-header-3-pin-3-96mm-lock-3p-3-96-mm-male-female-3pin"/>
    <hyperlink ref="H25" r:id="rId23" display="https://www.tokopedia.com/putraniagabdg/header-male-siku-2x40-l-2-54mm-2-x-40-fcp-baris-2x40p-belok-r-a-1729824156178613544"/>
    <hyperlink ref="H29" r:id="rId24" display="https://www.tokopedia.com/putraniagabdg/header-male-baris-1x40-pin-2-54mm-1-x-40-fcp-1x40p-hitam-1729809669501388072"/>
    <hyperlink ref="H28" r:id="rId25" display="https://www.tokopedia.com/putraniagabdg/header-male-baris-2x40-pin-2-54mm-2-x-40-fcp-2x40p-hitam"/>
    <hyperlink ref="H10" r:id="rId26" display="https://www.tokopedia.com/elantech/induktor-smd-100uh-1-7a-101-pcs127-12x12x7mm-smt-viking-tech-power-inductor-elantech-1731226397539337633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"/>
  <sheetViews>
    <sheetView zoomScale="80" zoomScaleNormal="80" workbookViewId="0">
      <selection activeCell="D1" sqref="D1"/>
    </sheetView>
  </sheetViews>
  <sheetFormatPr defaultColWidth="9" defaultRowHeight="16.8"/>
  <cols>
    <col min="1" max="1" width="10.5" style="21"/>
    <col min="2" max="3" width="8.5625" customWidth="1"/>
    <col min="4" max="4" width="20.5625" style="21" customWidth="1"/>
    <col min="5" max="5" width="23.5" style="21" customWidth="1"/>
    <col min="6" max="6" width="51.5" customWidth="1"/>
    <col min="7" max="8" width="9" style="21"/>
  </cols>
  <sheetData>
    <row r="1" spans="1:7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t="s">
        <v>5</v>
      </c>
      <c r="G1" s="21" t="s">
        <v>6</v>
      </c>
    </row>
    <row r="2" ht="17" spans="1:9">
      <c r="A2" s="21">
        <v>22</v>
      </c>
      <c r="B2" s="21" t="s">
        <v>7</v>
      </c>
      <c r="D2" s="22" t="s">
        <v>82</v>
      </c>
      <c r="E2" s="21" t="s">
        <v>83</v>
      </c>
      <c r="F2" t="s">
        <v>84</v>
      </c>
      <c r="G2" s="21">
        <v>1</v>
      </c>
      <c r="I2" s="23" t="s">
        <v>85</v>
      </c>
    </row>
    <row r="3" ht="17" spans="1:9">
      <c r="A3" s="21">
        <v>9</v>
      </c>
      <c r="B3" s="21" t="s">
        <v>7</v>
      </c>
      <c r="C3" s="21" t="s">
        <v>7</v>
      </c>
      <c r="D3" s="22" t="s">
        <v>35</v>
      </c>
      <c r="E3" s="21" t="s">
        <v>36</v>
      </c>
      <c r="F3" t="s">
        <v>37</v>
      </c>
      <c r="G3" s="21">
        <v>3</v>
      </c>
      <c r="I3" s="23" t="s">
        <v>38</v>
      </c>
    </row>
    <row r="4" ht="17" spans="1:9">
      <c r="A4" s="21">
        <v>4</v>
      </c>
      <c r="B4" s="21" t="s">
        <v>7</v>
      </c>
      <c r="D4" s="22" t="s">
        <v>17</v>
      </c>
      <c r="E4" s="21" t="s">
        <v>18</v>
      </c>
      <c r="F4" t="s">
        <v>19</v>
      </c>
      <c r="G4" s="21">
        <v>3</v>
      </c>
      <c r="I4" s="23" t="s">
        <v>20</v>
      </c>
    </row>
    <row r="5" ht="17" spans="1:9">
      <c r="A5" s="21">
        <v>5</v>
      </c>
      <c r="B5" s="21" t="s">
        <v>7</v>
      </c>
      <c r="D5" s="22" t="s">
        <v>21</v>
      </c>
      <c r="E5" s="21" t="s">
        <v>22</v>
      </c>
      <c r="F5" t="s">
        <v>19</v>
      </c>
      <c r="G5" s="21">
        <v>3</v>
      </c>
      <c r="I5" s="23" t="s">
        <v>23</v>
      </c>
    </row>
    <row r="6" ht="17" spans="1:9">
      <c r="A6" s="21">
        <v>3</v>
      </c>
      <c r="B6" s="21" t="s">
        <v>7</v>
      </c>
      <c r="D6" s="22" t="s">
        <v>15</v>
      </c>
      <c r="E6" s="21">
        <v>0</v>
      </c>
      <c r="F6" t="s">
        <v>10</v>
      </c>
      <c r="G6" s="21">
        <v>1</v>
      </c>
      <c r="I6" s="23" t="s">
        <v>16</v>
      </c>
    </row>
    <row r="7" ht="17" spans="1:9">
      <c r="A7" s="21">
        <v>6</v>
      </c>
      <c r="B7" s="21" t="s">
        <v>7</v>
      </c>
      <c r="D7" s="22" t="s">
        <v>24</v>
      </c>
      <c r="E7" s="21" t="s">
        <v>25</v>
      </c>
      <c r="F7" t="s">
        <v>26</v>
      </c>
      <c r="G7" s="21">
        <v>3</v>
      </c>
      <c r="I7" s="23" t="s">
        <v>27</v>
      </c>
    </row>
    <row r="8" ht="68" spans="1:9">
      <c r="A8" s="21">
        <v>1</v>
      </c>
      <c r="B8" s="21" t="s">
        <v>7</v>
      </c>
      <c r="D8" s="22" t="s">
        <v>8</v>
      </c>
      <c r="E8" s="21" t="s">
        <v>9</v>
      </c>
      <c r="F8" t="s">
        <v>10</v>
      </c>
      <c r="G8" s="21">
        <v>16</v>
      </c>
      <c r="I8" s="23" t="s">
        <v>11</v>
      </c>
    </row>
    <row r="9" ht="17" spans="1:9">
      <c r="A9" s="21">
        <v>11</v>
      </c>
      <c r="B9" s="21" t="s">
        <v>7</v>
      </c>
      <c r="D9" s="22" t="s">
        <v>43</v>
      </c>
      <c r="E9" s="21" t="s">
        <v>44</v>
      </c>
      <c r="F9" t="s">
        <v>45</v>
      </c>
      <c r="G9" s="21">
        <v>3</v>
      </c>
      <c r="I9" s="23" t="s">
        <v>46</v>
      </c>
    </row>
    <row r="10" ht="17" spans="1:9">
      <c r="A10" s="21">
        <v>7</v>
      </c>
      <c r="B10" s="21" t="s">
        <v>7</v>
      </c>
      <c r="D10" s="22" t="s">
        <v>28</v>
      </c>
      <c r="E10" s="21" t="s">
        <v>29</v>
      </c>
      <c r="F10" t="s">
        <v>26</v>
      </c>
      <c r="G10" s="21">
        <v>1</v>
      </c>
      <c r="I10" s="23" t="s">
        <v>30</v>
      </c>
    </row>
    <row r="11" ht="17" spans="1:9">
      <c r="A11" s="21">
        <v>2</v>
      </c>
      <c r="B11" s="21" t="s">
        <v>7</v>
      </c>
      <c r="D11" s="22" t="s">
        <v>12</v>
      </c>
      <c r="E11" s="21" t="s">
        <v>13</v>
      </c>
      <c r="F11" t="s">
        <v>10</v>
      </c>
      <c r="G11" s="21">
        <v>2</v>
      </c>
      <c r="I11" s="23" t="s">
        <v>14</v>
      </c>
    </row>
    <row r="12" ht="17" spans="1:9">
      <c r="A12" s="21">
        <v>20</v>
      </c>
      <c r="B12" s="21" t="s">
        <v>7</v>
      </c>
      <c r="D12" s="22" t="s">
        <v>75</v>
      </c>
      <c r="E12" s="21" t="s">
        <v>76</v>
      </c>
      <c r="F12" t="s">
        <v>77</v>
      </c>
      <c r="G12" s="21">
        <v>5</v>
      </c>
      <c r="I12" s="23" t="s">
        <v>78</v>
      </c>
    </row>
    <row r="13" ht="17" spans="1:9">
      <c r="A13" s="21">
        <v>10</v>
      </c>
      <c r="B13" s="21" t="s">
        <v>7</v>
      </c>
      <c r="D13" s="22" t="s">
        <v>39</v>
      </c>
      <c r="E13" s="21" t="s">
        <v>40</v>
      </c>
      <c r="F13" t="s">
        <v>41</v>
      </c>
      <c r="G13" s="21">
        <v>3</v>
      </c>
      <c r="I13" s="23" t="s">
        <v>42</v>
      </c>
    </row>
    <row r="14" ht="17" spans="1:9">
      <c r="A14" s="21">
        <v>12</v>
      </c>
      <c r="B14" s="21" t="s">
        <v>7</v>
      </c>
      <c r="D14" s="22" t="s">
        <v>47</v>
      </c>
      <c r="E14" s="21" t="s">
        <v>48</v>
      </c>
      <c r="F14" t="s">
        <v>49</v>
      </c>
      <c r="G14" s="21">
        <v>1</v>
      </c>
      <c r="I14" s="23" t="s">
        <v>50</v>
      </c>
    </row>
    <row r="15" ht="17" spans="1:9">
      <c r="A15" s="21">
        <v>26</v>
      </c>
      <c r="B15" s="21" t="s">
        <v>7</v>
      </c>
      <c r="D15" s="22" t="s">
        <v>97</v>
      </c>
      <c r="E15" s="21" t="s">
        <v>98</v>
      </c>
      <c r="F15" t="s">
        <v>99</v>
      </c>
      <c r="G15" s="21">
        <v>1</v>
      </c>
      <c r="I15" s="23" t="s">
        <v>100</v>
      </c>
    </row>
    <row r="16" ht="17" spans="1:9">
      <c r="A16" s="21">
        <v>25</v>
      </c>
      <c r="B16" s="21" t="s">
        <v>7</v>
      </c>
      <c r="D16" s="22" t="s">
        <v>93</v>
      </c>
      <c r="E16" s="21" t="s">
        <v>94</v>
      </c>
      <c r="F16" t="s">
        <v>95</v>
      </c>
      <c r="G16" s="21">
        <v>1</v>
      </c>
      <c r="I16" s="23" t="s">
        <v>96</v>
      </c>
    </row>
    <row r="17" ht="17" spans="1:9">
      <c r="A17" s="21">
        <v>28</v>
      </c>
      <c r="B17" s="21" t="s">
        <v>7</v>
      </c>
      <c r="D17" s="22" t="s">
        <v>105</v>
      </c>
      <c r="E17" s="21" t="s">
        <v>87</v>
      </c>
      <c r="F17" t="s">
        <v>106</v>
      </c>
      <c r="G17" s="21">
        <v>1</v>
      </c>
      <c r="I17" s="23" t="s">
        <v>107</v>
      </c>
    </row>
    <row r="18" ht="17" spans="1:9">
      <c r="A18" s="21">
        <v>27</v>
      </c>
      <c r="B18" s="21" t="s">
        <v>7</v>
      </c>
      <c r="D18" s="22" t="s">
        <v>101</v>
      </c>
      <c r="E18" s="21" t="s">
        <v>102</v>
      </c>
      <c r="F18" t="s">
        <v>103</v>
      </c>
      <c r="G18" s="21">
        <v>1</v>
      </c>
      <c r="I18" s="23" t="s">
        <v>104</v>
      </c>
    </row>
    <row r="19" ht="17" spans="1:9">
      <c r="A19" s="21">
        <v>24</v>
      </c>
      <c r="B19" s="21" t="s">
        <v>7</v>
      </c>
      <c r="D19" s="22" t="s">
        <v>89</v>
      </c>
      <c r="E19" s="21" t="s">
        <v>90</v>
      </c>
      <c r="F19" t="s">
        <v>91</v>
      </c>
      <c r="G19" s="21">
        <v>1</v>
      </c>
      <c r="I19" s="23" t="s">
        <v>92</v>
      </c>
    </row>
    <row r="20" ht="17" spans="1:9">
      <c r="A20" s="21">
        <v>13</v>
      </c>
      <c r="B20" s="21" t="s">
        <v>7</v>
      </c>
      <c r="D20" s="22" t="s">
        <v>51</v>
      </c>
      <c r="E20" s="21" t="s">
        <v>52</v>
      </c>
      <c r="F20" t="s">
        <v>53</v>
      </c>
      <c r="G20" s="21">
        <v>2</v>
      </c>
      <c r="I20" s="23" t="s">
        <v>54</v>
      </c>
    </row>
    <row r="21" ht="17" spans="1:9">
      <c r="A21" s="21">
        <v>19</v>
      </c>
      <c r="B21" s="21" t="s">
        <v>7</v>
      </c>
      <c r="D21" s="22" t="s">
        <v>71</v>
      </c>
      <c r="E21" s="21" t="s">
        <v>72</v>
      </c>
      <c r="F21" t="s">
        <v>73</v>
      </c>
      <c r="G21" s="21">
        <v>2</v>
      </c>
      <c r="I21" s="23" t="s">
        <v>74</v>
      </c>
    </row>
    <row r="22" ht="17" spans="1:9">
      <c r="A22" s="21">
        <v>8</v>
      </c>
      <c r="B22" s="21" t="s">
        <v>7</v>
      </c>
      <c r="D22" s="22" t="s">
        <v>31</v>
      </c>
      <c r="E22" s="21" t="s">
        <v>32</v>
      </c>
      <c r="F22" t="s">
        <v>33</v>
      </c>
      <c r="G22" s="21">
        <v>1</v>
      </c>
      <c r="I22" s="24" t="s">
        <v>34</v>
      </c>
    </row>
    <row r="23" ht="17" spans="1:9">
      <c r="A23" s="21">
        <v>18</v>
      </c>
      <c r="B23" s="21" t="s">
        <v>7</v>
      </c>
      <c r="D23" s="22" t="s">
        <v>68</v>
      </c>
      <c r="E23" s="21">
        <v>4071</v>
      </c>
      <c r="F23" t="s">
        <v>69</v>
      </c>
      <c r="G23" s="21">
        <v>1</v>
      </c>
      <c r="I23" s="23" t="s">
        <v>70</v>
      </c>
    </row>
    <row r="24" ht="17" spans="1:9">
      <c r="A24" s="21">
        <v>16</v>
      </c>
      <c r="B24" s="21" t="s">
        <v>7</v>
      </c>
      <c r="D24" s="22" t="s">
        <v>62</v>
      </c>
      <c r="E24" s="21" t="s">
        <v>63</v>
      </c>
      <c r="F24" t="s">
        <v>57</v>
      </c>
      <c r="G24" s="21">
        <v>1</v>
      </c>
      <c r="I24" s="23" t="s">
        <v>64</v>
      </c>
    </row>
    <row r="25" ht="17" spans="1:9">
      <c r="A25" s="21">
        <v>14</v>
      </c>
      <c r="B25" s="21" t="s">
        <v>7</v>
      </c>
      <c r="D25" s="22" t="s">
        <v>55</v>
      </c>
      <c r="E25" s="21" t="s">
        <v>56</v>
      </c>
      <c r="F25" t="s">
        <v>57</v>
      </c>
      <c r="G25" s="21">
        <v>1</v>
      </c>
      <c r="I25" s="23" t="s">
        <v>58</v>
      </c>
    </row>
    <row r="26" ht="17" spans="1:9">
      <c r="A26" s="21">
        <v>15</v>
      </c>
      <c r="B26" s="21" t="s">
        <v>7</v>
      </c>
      <c r="D26" s="22" t="s">
        <v>59</v>
      </c>
      <c r="E26" s="21" t="s">
        <v>60</v>
      </c>
      <c r="F26" t="s">
        <v>57</v>
      </c>
      <c r="G26" s="21">
        <v>1</v>
      </c>
      <c r="I26" s="23" t="s">
        <v>61</v>
      </c>
    </row>
    <row r="27" ht="17" spans="1:9">
      <c r="A27" s="21">
        <v>17</v>
      </c>
      <c r="B27" s="21" t="s">
        <v>7</v>
      </c>
      <c r="D27" s="22" t="s">
        <v>65</v>
      </c>
      <c r="E27" t="s">
        <v>66</v>
      </c>
      <c r="F27" t="s">
        <v>66</v>
      </c>
      <c r="G27" s="21">
        <v>1</v>
      </c>
      <c r="I27" s="23" t="s">
        <v>67</v>
      </c>
    </row>
    <row r="28" ht="17" spans="1:7">
      <c r="A28" s="21">
        <v>21</v>
      </c>
      <c r="B28" s="21" t="s">
        <v>7</v>
      </c>
      <c r="D28" s="22" t="s">
        <v>79</v>
      </c>
      <c r="E28" s="21" t="s">
        <v>80</v>
      </c>
      <c r="F28" t="s">
        <v>81</v>
      </c>
      <c r="G28" s="21">
        <v>3</v>
      </c>
    </row>
    <row r="29" ht="17" spans="1:7">
      <c r="A29" s="21">
        <v>23</v>
      </c>
      <c r="B29" s="21" t="s">
        <v>7</v>
      </c>
      <c r="D29" s="22" t="s">
        <v>86</v>
      </c>
      <c r="E29" s="21" t="s">
        <v>87</v>
      </c>
      <c r="F29" t="s">
        <v>88</v>
      </c>
      <c r="G29" s="21">
        <v>2</v>
      </c>
    </row>
  </sheetData>
  <autoFilter xmlns:etc="http://www.wps.cn/officeDocument/2017/etCustomData" ref="A1:I29" etc:filterBottomFollowUsedRange="0">
    <sortState ref="A2:I29">
      <sortCondition ref="I1"/>
    </sortState>
    <extLst/>
  </autoFilter>
  <hyperlinks>
    <hyperlink ref="I2" r:id="rId1" display="https://www.tokopedia.com/celectro/relay-g5v-1-5vdc"/>
    <hyperlink ref="I21" r:id="rId2" display="https://www.tokopedia.com/putraniagabdg/push-on-4p-mini-pcb-tact-switch-tombol-reset-4pin-tinggi-4-3mm"/>
    <hyperlink ref="I20" r:id="rId3" display="https://www.tokopedia.com/putraniagabdg/pc817-optocoupler-pc-817-dip-4pin-pc817-1-high-quality"/>
    <hyperlink ref="I12" r:id="rId4" display="https://www.tokopedia.com/lisuinstrument/bcx56-npn-80v-1a-500mw-hfe-100-250-transistor-bjt-sot-89-3-cj-original"/>
    <hyperlink ref="I9" r:id="rId5" display="https://www.tokopedia.com/lisuinstrument/1206-smd-led-smt-ultra-bright-berbagai-pilihan-warna-merah"/>
    <hyperlink ref="I13" r:id="rId6" display="https://www.tokopedia.com/lisuinstrument/ss36a-60v-3a-schottky-diode-sma-do-214ac-ss36-hottech-original"/>
    <hyperlink ref="I6" r:id="rId7" display="https://www.tokopedia.com/lisuinstrument/0-1206-5-smd-thick-resistor-0r-0-walsin-wr12x000ptl-1731697760176997861"/>
    <hyperlink ref="I11" r:id="rId8" display="https://www.tokopedia.com/lisuinstrument/5-1k-1206-1-250mw-200v-100ppm-thick-film-resistors-5-1k-5k1-5101-rc1206fr-075k1l-yageo"/>
    <hyperlink ref="I8" r:id="rId9" display="https://www.tokopedia.com/lisuinstrument/10k-1206-1-250mw-200v-100ppm-thick-film-resistors-10k-10-1002-rc1206fr-0710kl-yageo"/>
    <hyperlink ref="I7" r:id="rId10" display="https://www.tokopedia.com/lisuinstrument/100nf-50v-x7r-10-1206-3216-mm-smd-ceramic-capacitor-cl31b104kbcnnnc"/>
    <hyperlink ref="I10" r:id="rId11" display="https://www.tokopedia.com/lisuinstrument/1uf-10-50v-x7r-1206-3216-mm-smd-capacitors-mlcc-samsung"/>
    <hyperlink ref="I4" r:id="rId12" display="https://www.tokopedia.com/jayenk/solid-kapasitor-capasitor-elko-elco-smd-100uf-50v-10x10-high-quality"/>
    <hyperlink ref="I5" r:id="rId13" display="https://www.tokopedia.com/jayenk/solid-kapasitor-capasitor-elko-elco-smd-680uf-35v-680uf-vzs-size-10x10"/>
    <hyperlink ref="I23" r:id="rId14" display="https://www.tokopedia.com/smgjayatronik/cd4071bcm-cd4071-smd-ic-4071"/>
    <hyperlink ref="I14" r:id="rId15" display="https://www.tokopedia.com/lisuinstrument/ss36b-60v-3a-schottky-barrier-rectifier-ss36-smb-ctk-electronics"/>
    <hyperlink ref="I27" r:id="rId16" display="https://www.tokopedia.com/the-diy-store/esp32-s3-wroom-esp32-s3-wroom-1u-chip-module-8mb-psram-n16r8-16mb"/>
    <hyperlink ref="I24" r:id="rId17" display="https://www.tokopedia.com/starelektro-1/lm2576s-lm2576hvs-adj-3-3-5-0-12-ic-regulator-switching-smd-to-263-5-4pcs-12volt-cfe9f"/>
    <hyperlink ref="I26" r:id="rId18" display="https://www.tokopedia.com/starelektro-1/lm2576s-lm2576hvs-adj-3-3-5-0-12-ic-regulator-switching-smd-to-263-5-4pcs-5volt-61057"/>
    <hyperlink ref="I25" r:id="rId19" display="https://www.tokopedia.com/starelektro-1/lm2576s-lm2576hvs-adj-3-3-5-0-12-ic-regulator-switching-smd-to-263-5-4pcs-3-3volt-406d1"/>
    <hyperlink ref="I22" r:id="rId20" display="https://www.tokopedia.com/putraniagabdg/tantalum-smd-22uf-10v-kapasitor-22-uf-kode-226-dimensi-3528"/>
    <hyperlink ref="I15" r:id="rId21" display="https://www.tokopedia.com/putraniagabdg/1-set-konektor-header-2-pin-3-96mm-lock-2p-3-96-mm-male-female-2pin"/>
    <hyperlink ref="I16" r:id="rId22" display="https://www.tokopedia.com/putraniagabdg/1-set-konektor-header-3-pin-3-96mm-lock-3p-3-96-mm-male-female-3pin"/>
    <hyperlink ref="I19" r:id="rId23" display="https://www.tokopedia.com/putraniagabdg/header-male-siku-2x40-l-2-54mm-2-x-40-fcp-baris-2x40p-belok-r-a-1729824156178613544"/>
    <hyperlink ref="I17" r:id="rId24" display="https://www.tokopedia.com/putraniagabdg/header-male-baris-1x40-pin-2-54mm-1-x-40-fcp-1x40p-hitam-1729809669501388072"/>
    <hyperlink ref="I18" r:id="rId25" display="https://www.tokopedia.com/putraniagabdg/header-male-baris-2x40-pin-2-54mm-2-x-40-fcp-2x40p-hitam"/>
    <hyperlink ref="I3" r:id="rId26" display="https://www.tokopedia.com/elantech/induktor-smd-100uh-1-7a-101-pcs127-12x12x7mm-smt-viking-tech-power-inductor-elantech-1731226397539337633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96"/>
  <sheetViews>
    <sheetView tabSelected="1" topLeftCell="A24" workbookViewId="0">
      <selection activeCell="H58" sqref="H58"/>
    </sheetView>
  </sheetViews>
  <sheetFormatPr defaultColWidth="9" defaultRowHeight="18" customHeight="1" outlineLevelCol="7"/>
  <cols>
    <col min="1" max="1" width="3.5625" style="1" customWidth="1"/>
    <col min="2" max="2" width="9" style="1"/>
    <col min="3" max="3" width="50.5625" style="1" hidden="1" customWidth="1"/>
    <col min="4" max="4" width="40.5625" style="1" customWidth="1"/>
    <col min="5" max="5" width="6.5625" style="1" customWidth="1"/>
    <col min="6" max="7" width="18.5625" style="1" customWidth="1"/>
    <col min="8" max="8" width="20.1875" style="2" customWidth="1"/>
    <col min="9" max="16384" width="9" style="1"/>
  </cols>
  <sheetData>
    <row r="2" customHeight="1" spans="2:4">
      <c r="B2" s="3" t="s">
        <v>108</v>
      </c>
      <c r="D2" s="4" t="s">
        <v>109</v>
      </c>
    </row>
    <row r="3" customHeight="1" spans="2:7">
      <c r="B3" s="5" t="s">
        <v>0</v>
      </c>
      <c r="C3" s="6" t="s">
        <v>110</v>
      </c>
      <c r="D3" s="7" t="s">
        <v>111</v>
      </c>
      <c r="E3" s="5" t="s">
        <v>112</v>
      </c>
      <c r="F3" s="5" t="s">
        <v>113</v>
      </c>
      <c r="G3" s="5" t="s">
        <v>114</v>
      </c>
    </row>
    <row r="4" customHeight="1" spans="2:7">
      <c r="B4" s="8">
        <v>1</v>
      </c>
      <c r="C4" s="9" t="s">
        <v>115</v>
      </c>
      <c r="D4" s="10" t="s">
        <v>116</v>
      </c>
      <c r="E4" s="8">
        <v>1</v>
      </c>
      <c r="F4" s="8">
        <v>660</v>
      </c>
      <c r="G4" s="8">
        <f>E4*F4</f>
        <v>660</v>
      </c>
    </row>
    <row r="5" customHeight="1" spans="2:8">
      <c r="B5" s="8">
        <v>2</v>
      </c>
      <c r="C5" s="9" t="s">
        <v>117</v>
      </c>
      <c r="D5" s="10">
        <v>4071</v>
      </c>
      <c r="E5" s="8">
        <v>1</v>
      </c>
      <c r="F5" s="8">
        <v>7700</v>
      </c>
      <c r="G5" s="8">
        <f>E5*F5</f>
        <v>7700</v>
      </c>
      <c r="H5" s="18"/>
    </row>
    <row r="6" customHeight="1" spans="2:8">
      <c r="B6" s="8">
        <v>3</v>
      </c>
      <c r="C6" s="9" t="s">
        <v>118</v>
      </c>
      <c r="D6" s="10" t="s">
        <v>119</v>
      </c>
      <c r="E6" s="8">
        <v>2</v>
      </c>
      <c r="F6" s="8">
        <v>11000</v>
      </c>
      <c r="G6" s="8">
        <f>E6*F6</f>
        <v>22000</v>
      </c>
      <c r="H6" s="18"/>
    </row>
    <row r="7" customHeight="1" spans="2:8">
      <c r="B7" s="8">
        <v>4</v>
      </c>
      <c r="C7" s="9" t="s">
        <v>120</v>
      </c>
      <c r="D7" s="10" t="s">
        <v>121</v>
      </c>
      <c r="E7" s="8">
        <v>2</v>
      </c>
      <c r="F7" s="8">
        <v>7700</v>
      </c>
      <c r="G7" s="8">
        <f>E7*F7</f>
        <v>15400</v>
      </c>
      <c r="H7" s="18"/>
    </row>
    <row r="8" customHeight="1" spans="2:7">
      <c r="B8" s="11"/>
      <c r="C8" s="12"/>
      <c r="D8" s="12"/>
      <c r="E8" s="12"/>
      <c r="F8" s="19" t="s">
        <v>122</v>
      </c>
      <c r="G8" s="20">
        <f>SUM(G4:G7)</f>
        <v>45760</v>
      </c>
    </row>
    <row r="9" customHeight="1" spans="2:7">
      <c r="B9" s="11"/>
      <c r="C9" s="12"/>
      <c r="D9" s="12"/>
      <c r="E9" s="12"/>
      <c r="F9" s="19" t="s">
        <v>123</v>
      </c>
      <c r="G9" s="20"/>
    </row>
    <row r="10" customHeight="1" spans="2:7">
      <c r="B10" s="11"/>
      <c r="C10" s="12"/>
      <c r="D10" s="12"/>
      <c r="E10" s="12"/>
      <c r="F10" s="19" t="s">
        <v>124</v>
      </c>
      <c r="G10" s="20">
        <f>G8+G9</f>
        <v>45760</v>
      </c>
    </row>
    <row r="12" customHeight="1" spans="2:4">
      <c r="B12" s="3" t="s">
        <v>108</v>
      </c>
      <c r="D12" s="4" t="s">
        <v>125</v>
      </c>
    </row>
    <row r="13" customHeight="1" spans="2:7">
      <c r="B13" s="5" t="s">
        <v>0</v>
      </c>
      <c r="C13" s="6" t="s">
        <v>110</v>
      </c>
      <c r="D13" s="7" t="s">
        <v>111</v>
      </c>
      <c r="E13" s="5" t="s">
        <v>112</v>
      </c>
      <c r="F13" s="5" t="s">
        <v>113</v>
      </c>
      <c r="G13" s="5" t="s">
        <v>114</v>
      </c>
    </row>
    <row r="14" customHeight="1" spans="2:7">
      <c r="B14" s="8">
        <v>1</v>
      </c>
      <c r="C14" s="9" t="s">
        <v>126</v>
      </c>
      <c r="D14" s="9" t="s">
        <v>126</v>
      </c>
      <c r="E14" s="8">
        <v>4</v>
      </c>
      <c r="F14" s="8">
        <v>12900</v>
      </c>
      <c r="G14" s="8">
        <f>E14*F14</f>
        <v>51600</v>
      </c>
    </row>
    <row r="15" customHeight="1" spans="2:7">
      <c r="B15" s="11"/>
      <c r="C15" s="12"/>
      <c r="D15" s="12"/>
      <c r="E15" s="12"/>
      <c r="F15" s="19" t="s">
        <v>122</v>
      </c>
      <c r="G15" s="20">
        <f>SUM(G14)</f>
        <v>51600</v>
      </c>
    </row>
    <row r="16" customHeight="1" spans="2:7">
      <c r="B16" s="11"/>
      <c r="C16" s="12"/>
      <c r="D16" s="12"/>
      <c r="E16" s="12"/>
      <c r="F16" s="19" t="s">
        <v>123</v>
      </c>
      <c r="G16" s="20"/>
    </row>
    <row r="17" customHeight="1" spans="2:7">
      <c r="B17" s="11"/>
      <c r="C17" s="12"/>
      <c r="D17" s="12"/>
      <c r="E17" s="12"/>
      <c r="F17" s="19" t="s">
        <v>124</v>
      </c>
      <c r="G17" s="20">
        <f>G15+G16</f>
        <v>51600</v>
      </c>
    </row>
    <row r="19" customHeight="1" spans="2:4">
      <c r="B19" s="3" t="s">
        <v>108</v>
      </c>
      <c r="D19" s="4" t="s">
        <v>127</v>
      </c>
    </row>
    <row r="20" customHeight="1" spans="2:7">
      <c r="B20" s="5" t="s">
        <v>0</v>
      </c>
      <c r="C20" s="6" t="s">
        <v>110</v>
      </c>
      <c r="D20" s="7" t="s">
        <v>111</v>
      </c>
      <c r="E20" s="5" t="s">
        <v>112</v>
      </c>
      <c r="F20" s="5" t="s">
        <v>113</v>
      </c>
      <c r="G20" s="5" t="s">
        <v>114</v>
      </c>
    </row>
    <row r="21" customHeight="1" spans="2:7">
      <c r="B21" s="8">
        <v>1</v>
      </c>
      <c r="C21" s="9" t="s">
        <v>128</v>
      </c>
      <c r="D21" s="9" t="s">
        <v>129</v>
      </c>
      <c r="E21" s="8">
        <v>10</v>
      </c>
      <c r="F21" s="8">
        <v>2000</v>
      </c>
      <c r="G21" s="8">
        <f>E21*F21</f>
        <v>20000</v>
      </c>
    </row>
    <row r="22" customHeight="1" spans="2:7">
      <c r="B22" s="11"/>
      <c r="C22" s="12"/>
      <c r="D22" s="12"/>
      <c r="E22" s="12"/>
      <c r="F22" s="19" t="s">
        <v>122</v>
      </c>
      <c r="G22" s="20">
        <f>SUM(G21)</f>
        <v>20000</v>
      </c>
    </row>
    <row r="23" customHeight="1" spans="2:7">
      <c r="B23" s="11"/>
      <c r="C23" s="12"/>
      <c r="D23" s="12"/>
      <c r="E23" s="12"/>
      <c r="F23" s="19" t="s">
        <v>123</v>
      </c>
      <c r="G23" s="20"/>
    </row>
    <row r="24" customHeight="1" spans="2:7">
      <c r="B24" s="11"/>
      <c r="C24" s="12"/>
      <c r="D24" s="12"/>
      <c r="E24" s="12"/>
      <c r="F24" s="19" t="s">
        <v>124</v>
      </c>
      <c r="G24" s="20">
        <f>G22+G23</f>
        <v>20000</v>
      </c>
    </row>
    <row r="26" customHeight="1" spans="2:4">
      <c r="B26" s="3" t="s">
        <v>108</v>
      </c>
      <c r="D26" s="13" t="s">
        <v>130</v>
      </c>
    </row>
    <row r="27" customHeight="1" spans="2:7">
      <c r="B27" s="5" t="s">
        <v>0</v>
      </c>
      <c r="C27" s="6" t="s">
        <v>110</v>
      </c>
      <c r="D27" s="7" t="s">
        <v>111</v>
      </c>
      <c r="E27" s="5" t="s">
        <v>112</v>
      </c>
      <c r="F27" s="5" t="s">
        <v>113</v>
      </c>
      <c r="G27" s="5" t="s">
        <v>114</v>
      </c>
    </row>
    <row r="28" customHeight="1" spans="2:7">
      <c r="B28" s="8">
        <v>1</v>
      </c>
      <c r="C28" s="14" t="s">
        <v>131</v>
      </c>
      <c r="D28" s="9" t="s">
        <v>132</v>
      </c>
      <c r="E28" s="8">
        <v>5</v>
      </c>
      <c r="F28" s="8">
        <v>26500</v>
      </c>
      <c r="G28" s="8">
        <f>E28*F28</f>
        <v>132500</v>
      </c>
    </row>
    <row r="29" customHeight="1" spans="2:7">
      <c r="B29" s="11"/>
      <c r="C29" s="12"/>
      <c r="D29" s="12"/>
      <c r="E29" s="12"/>
      <c r="F29" s="19" t="s">
        <v>122</v>
      </c>
      <c r="G29" s="20">
        <f>SUM(G28)</f>
        <v>132500</v>
      </c>
    </row>
    <row r="30" customHeight="1" spans="2:7">
      <c r="B30" s="11"/>
      <c r="C30" s="12"/>
      <c r="D30" s="12"/>
      <c r="E30" s="12"/>
      <c r="F30" s="19" t="s">
        <v>123</v>
      </c>
      <c r="G30" s="20"/>
    </row>
    <row r="31" customHeight="1" spans="2:7">
      <c r="B31" s="11"/>
      <c r="C31" s="12"/>
      <c r="D31" s="12"/>
      <c r="E31" s="12"/>
      <c r="F31" s="19" t="s">
        <v>124</v>
      </c>
      <c r="G31" s="20">
        <f>G29+G30</f>
        <v>132500</v>
      </c>
    </row>
    <row r="33" customHeight="1" spans="2:4">
      <c r="B33" s="4" t="s">
        <v>108</v>
      </c>
      <c r="D33" s="13" t="s">
        <v>133</v>
      </c>
    </row>
    <row r="34" customHeight="1" spans="2:7">
      <c r="B34" s="15" t="s">
        <v>0</v>
      </c>
      <c r="C34" s="16" t="s">
        <v>110</v>
      </c>
      <c r="D34" s="7" t="s">
        <v>111</v>
      </c>
      <c r="E34" s="5" t="s">
        <v>112</v>
      </c>
      <c r="F34" s="5" t="s">
        <v>113</v>
      </c>
      <c r="G34" s="5" t="s">
        <v>114</v>
      </c>
    </row>
    <row r="35" customHeight="1" spans="2:7">
      <c r="B35" s="8">
        <v>1</v>
      </c>
      <c r="C35" s="17" t="s">
        <v>134</v>
      </c>
      <c r="D35" s="17" t="s">
        <v>135</v>
      </c>
      <c r="E35" s="8">
        <v>4</v>
      </c>
      <c r="F35" s="8">
        <v>2500</v>
      </c>
      <c r="G35" s="8">
        <f>E35*F35</f>
        <v>10000</v>
      </c>
    </row>
    <row r="36" customHeight="1" spans="2:7">
      <c r="B36" s="8">
        <v>2</v>
      </c>
      <c r="C36" s="17" t="s">
        <v>136</v>
      </c>
      <c r="D36" s="17" t="s">
        <v>137</v>
      </c>
      <c r="E36" s="8">
        <v>4</v>
      </c>
      <c r="F36" s="8">
        <v>500</v>
      </c>
      <c r="G36" s="8">
        <f>E36*F36</f>
        <v>2000</v>
      </c>
    </row>
    <row r="37" customHeight="1" spans="2:7">
      <c r="B37" s="8">
        <v>3</v>
      </c>
      <c r="C37" s="17" t="s">
        <v>138</v>
      </c>
      <c r="D37" s="17" t="s">
        <v>139</v>
      </c>
      <c r="E37" s="8">
        <v>10</v>
      </c>
      <c r="F37" s="8">
        <v>1500</v>
      </c>
      <c r="G37" s="8">
        <f>E37*F37</f>
        <v>15000</v>
      </c>
    </row>
    <row r="38" customHeight="1" spans="2:7">
      <c r="B38" s="8">
        <v>4</v>
      </c>
      <c r="C38" s="17" t="s">
        <v>140</v>
      </c>
      <c r="D38" s="17" t="s">
        <v>141</v>
      </c>
      <c r="E38" s="8">
        <v>6</v>
      </c>
      <c r="F38" s="8">
        <v>7250</v>
      </c>
      <c r="G38" s="8">
        <f>E38*F38</f>
        <v>43500</v>
      </c>
    </row>
    <row r="39" customHeight="1" spans="2:7">
      <c r="B39" s="8">
        <v>5</v>
      </c>
      <c r="C39" s="17" t="s">
        <v>142</v>
      </c>
      <c r="D39" s="17" t="s">
        <v>143</v>
      </c>
      <c r="E39" s="8">
        <v>7</v>
      </c>
      <c r="F39" s="8">
        <v>4500</v>
      </c>
      <c r="G39" s="8">
        <f>E39*F39</f>
        <v>31500</v>
      </c>
    </row>
    <row r="40" customHeight="1" spans="2:7">
      <c r="B40" s="8">
        <v>6</v>
      </c>
      <c r="C40" s="17" t="s">
        <v>144</v>
      </c>
      <c r="D40" s="17" t="s">
        <v>145</v>
      </c>
      <c r="E40" s="8">
        <v>1</v>
      </c>
      <c r="F40" s="8">
        <v>3000</v>
      </c>
      <c r="G40" s="8">
        <f>E40*F40</f>
        <v>3000</v>
      </c>
    </row>
    <row r="41" customHeight="1" spans="2:7">
      <c r="B41" s="8">
        <v>7</v>
      </c>
      <c r="C41" s="17" t="s">
        <v>146</v>
      </c>
      <c r="D41" s="17" t="s">
        <v>147</v>
      </c>
      <c r="E41" s="8">
        <v>1</v>
      </c>
      <c r="F41" s="8">
        <v>1000</v>
      </c>
      <c r="G41" s="8">
        <f>E41*F41</f>
        <v>1000</v>
      </c>
    </row>
    <row r="42" customHeight="1" spans="2:7">
      <c r="B42" s="8">
        <v>8</v>
      </c>
      <c r="C42" s="17" t="s">
        <v>148</v>
      </c>
      <c r="D42" s="17" t="s">
        <v>149</v>
      </c>
      <c r="E42" s="8">
        <v>1</v>
      </c>
      <c r="F42" s="8">
        <v>2000</v>
      </c>
      <c r="G42" s="8">
        <f>E42*F42</f>
        <v>2000</v>
      </c>
    </row>
    <row r="43" customHeight="1" spans="2:7">
      <c r="B43" s="8">
        <v>9</v>
      </c>
      <c r="C43" s="17" t="s">
        <v>150</v>
      </c>
      <c r="D43" s="17" t="s">
        <v>151</v>
      </c>
      <c r="E43" s="8">
        <v>1</v>
      </c>
      <c r="F43" s="8">
        <v>3000</v>
      </c>
      <c r="G43" s="8">
        <f>E43*F43</f>
        <v>3000</v>
      </c>
    </row>
    <row r="44" customHeight="1" spans="2:7">
      <c r="B44" s="8">
        <v>10</v>
      </c>
      <c r="C44" s="17" t="s">
        <v>152</v>
      </c>
      <c r="D44" s="17" t="s">
        <v>153</v>
      </c>
      <c r="E44" s="8">
        <v>1</v>
      </c>
      <c r="F44" s="8">
        <v>5000</v>
      </c>
      <c r="G44" s="8">
        <f>E44*F44</f>
        <v>5000</v>
      </c>
    </row>
    <row r="45" customHeight="1" spans="2:7">
      <c r="B45" s="8">
        <v>11</v>
      </c>
      <c r="C45" s="17" t="s">
        <v>154</v>
      </c>
      <c r="D45" s="17" t="s">
        <v>155</v>
      </c>
      <c r="E45" s="8">
        <v>2</v>
      </c>
      <c r="F45" s="8">
        <v>9500</v>
      </c>
      <c r="G45" s="8">
        <f>E45*F45</f>
        <v>19000</v>
      </c>
    </row>
    <row r="46" customHeight="1" spans="2:7">
      <c r="B46" s="11"/>
      <c r="C46" s="12"/>
      <c r="D46" s="12"/>
      <c r="E46" s="12"/>
      <c r="F46" s="19" t="s">
        <v>122</v>
      </c>
      <c r="G46" s="20">
        <f>SUM(G35:G45)</f>
        <v>135000</v>
      </c>
    </row>
    <row r="47" customHeight="1" spans="2:7">
      <c r="B47" s="11"/>
      <c r="C47" s="12"/>
      <c r="D47" s="12"/>
      <c r="E47" s="12"/>
      <c r="F47" s="19" t="s">
        <v>123</v>
      </c>
      <c r="G47" s="20"/>
    </row>
    <row r="48" customHeight="1" spans="2:7">
      <c r="B48" s="11"/>
      <c r="C48" s="12"/>
      <c r="D48" s="12"/>
      <c r="E48" s="12"/>
      <c r="F48" s="19" t="s">
        <v>124</v>
      </c>
      <c r="G48" s="20">
        <f>G46+G47</f>
        <v>135000</v>
      </c>
    </row>
    <row r="50" customHeight="1" spans="2:4">
      <c r="B50" s="4" t="s">
        <v>108</v>
      </c>
      <c r="D50" s="13" t="s">
        <v>156</v>
      </c>
    </row>
    <row r="51" customHeight="1" spans="2:7">
      <c r="B51" s="15" t="s">
        <v>0</v>
      </c>
      <c r="C51" s="16" t="s">
        <v>110</v>
      </c>
      <c r="D51" s="7" t="s">
        <v>111</v>
      </c>
      <c r="E51" s="5" t="s">
        <v>112</v>
      </c>
      <c r="F51" s="5" t="s">
        <v>113</v>
      </c>
      <c r="G51" s="5" t="s">
        <v>114</v>
      </c>
    </row>
    <row r="52" customHeight="1" spans="2:7">
      <c r="B52" s="8">
        <v>1</v>
      </c>
      <c r="C52" s="17" t="s">
        <v>157</v>
      </c>
      <c r="D52" s="17" t="s">
        <v>158</v>
      </c>
      <c r="E52" s="8">
        <v>6</v>
      </c>
      <c r="F52" s="8">
        <v>699</v>
      </c>
      <c r="G52" s="8">
        <f t="shared" ref="G52:G62" si="0">E52*F52</f>
        <v>4194</v>
      </c>
    </row>
    <row r="53" customHeight="1" spans="2:7">
      <c r="B53" s="8">
        <v>2</v>
      </c>
      <c r="C53" s="17" t="s">
        <v>159</v>
      </c>
      <c r="D53" s="17" t="s">
        <v>160</v>
      </c>
      <c r="E53" s="8">
        <v>10</v>
      </c>
      <c r="F53" s="8">
        <v>1399</v>
      </c>
      <c r="G53" s="8">
        <f t="shared" si="0"/>
        <v>13990</v>
      </c>
    </row>
    <row r="54" customHeight="1" spans="2:7">
      <c r="B54" s="8">
        <v>3</v>
      </c>
      <c r="C54" s="17" t="s">
        <v>161</v>
      </c>
      <c r="D54" s="17" t="s">
        <v>162</v>
      </c>
      <c r="E54" s="8">
        <v>10</v>
      </c>
      <c r="F54" s="8">
        <v>199</v>
      </c>
      <c r="G54" s="8">
        <f t="shared" si="0"/>
        <v>1990</v>
      </c>
    </row>
    <row r="55" customHeight="1" spans="2:7">
      <c r="B55" s="8">
        <v>4</v>
      </c>
      <c r="C55" s="17" t="s">
        <v>163</v>
      </c>
      <c r="D55" s="17" t="s">
        <v>164</v>
      </c>
      <c r="E55" s="8">
        <v>6</v>
      </c>
      <c r="F55" s="8">
        <v>799</v>
      </c>
      <c r="G55" s="8">
        <f t="shared" si="0"/>
        <v>4794</v>
      </c>
    </row>
    <row r="56" customHeight="1" spans="2:7">
      <c r="B56" s="8">
        <v>5</v>
      </c>
      <c r="C56" s="17" t="s">
        <v>165</v>
      </c>
      <c r="D56" s="17" t="s">
        <v>166</v>
      </c>
      <c r="E56" s="8">
        <v>10</v>
      </c>
      <c r="F56" s="8">
        <v>799</v>
      </c>
      <c r="G56" s="8">
        <f t="shared" si="0"/>
        <v>7990</v>
      </c>
    </row>
    <row r="57" customHeight="1" spans="2:7">
      <c r="B57" s="8">
        <v>6</v>
      </c>
      <c r="C57" s="17" t="s">
        <v>167</v>
      </c>
      <c r="D57" s="17" t="s">
        <v>168</v>
      </c>
      <c r="E57" s="8">
        <v>20</v>
      </c>
      <c r="F57" s="8">
        <v>349</v>
      </c>
      <c r="G57" s="8">
        <f t="shared" si="0"/>
        <v>6980</v>
      </c>
    </row>
    <row r="58" customHeight="1" spans="2:7">
      <c r="B58" s="8">
        <v>7</v>
      </c>
      <c r="C58" s="17" t="s">
        <v>169</v>
      </c>
      <c r="D58" s="17" t="s">
        <v>170</v>
      </c>
      <c r="E58" s="8">
        <v>10</v>
      </c>
      <c r="F58" s="8">
        <v>1100</v>
      </c>
      <c r="G58" s="8">
        <f t="shared" si="0"/>
        <v>11000</v>
      </c>
    </row>
    <row r="59" customHeight="1" spans="2:7">
      <c r="B59" s="8">
        <v>8</v>
      </c>
      <c r="C59" s="17" t="s">
        <v>171</v>
      </c>
      <c r="D59" s="17" t="s">
        <v>172</v>
      </c>
      <c r="E59" s="8">
        <v>25</v>
      </c>
      <c r="F59" s="8">
        <v>149</v>
      </c>
      <c r="G59" s="8">
        <f t="shared" si="0"/>
        <v>3725</v>
      </c>
    </row>
    <row r="60" customHeight="1" spans="2:7">
      <c r="B60" s="8">
        <v>9</v>
      </c>
      <c r="C60" s="17" t="s">
        <v>173</v>
      </c>
      <c r="D60" s="17" t="s">
        <v>174</v>
      </c>
      <c r="E60" s="8">
        <v>25</v>
      </c>
      <c r="F60" s="8">
        <v>149</v>
      </c>
      <c r="G60" s="8">
        <f t="shared" si="0"/>
        <v>3725</v>
      </c>
    </row>
    <row r="61" customHeight="1" spans="2:7">
      <c r="B61" s="11"/>
      <c r="C61" s="12"/>
      <c r="D61" s="12"/>
      <c r="E61" s="12"/>
      <c r="F61" s="19" t="s">
        <v>122</v>
      </c>
      <c r="G61" s="20">
        <f>SUM(G52:G60)</f>
        <v>58388</v>
      </c>
    </row>
    <row r="62" customHeight="1" spans="2:7">
      <c r="B62" s="11"/>
      <c r="C62" s="12"/>
      <c r="D62" s="12"/>
      <c r="E62" s="12"/>
      <c r="F62" s="19" t="s">
        <v>123</v>
      </c>
      <c r="G62" s="20"/>
    </row>
    <row r="63" customHeight="1" spans="2:7">
      <c r="B63" s="11"/>
      <c r="C63" s="12"/>
      <c r="D63" s="12"/>
      <c r="E63" s="12"/>
      <c r="F63" s="19" t="s">
        <v>124</v>
      </c>
      <c r="G63" s="20">
        <f>G61+G62</f>
        <v>58388</v>
      </c>
    </row>
    <row r="65" customHeight="1" spans="2:4">
      <c r="B65" s="4" t="s">
        <v>108</v>
      </c>
      <c r="D65" s="13" t="s">
        <v>175</v>
      </c>
    </row>
    <row r="66" customHeight="1" spans="2:7">
      <c r="B66" s="5" t="s">
        <v>0</v>
      </c>
      <c r="C66" s="6" t="s">
        <v>110</v>
      </c>
      <c r="D66" s="7" t="s">
        <v>111</v>
      </c>
      <c r="E66" s="5" t="s">
        <v>112</v>
      </c>
      <c r="F66" s="5" t="s">
        <v>113</v>
      </c>
      <c r="G66" s="5" t="s">
        <v>114</v>
      </c>
    </row>
    <row r="67" customHeight="1" spans="2:7">
      <c r="B67" s="8">
        <v>1</v>
      </c>
      <c r="C67" s="17" t="s">
        <v>176</v>
      </c>
      <c r="D67" s="17" t="s">
        <v>177</v>
      </c>
      <c r="E67" s="8">
        <v>4</v>
      </c>
      <c r="F67" s="8">
        <v>15000</v>
      </c>
      <c r="G67" s="8">
        <f>E67*F67</f>
        <v>60000</v>
      </c>
    </row>
    <row r="68" customHeight="1" spans="2:7">
      <c r="B68" s="8">
        <v>2</v>
      </c>
      <c r="C68" s="17" t="s">
        <v>176</v>
      </c>
      <c r="D68" s="17" t="s">
        <v>178</v>
      </c>
      <c r="E68" s="8">
        <v>4</v>
      </c>
      <c r="F68" s="8">
        <v>10000</v>
      </c>
      <c r="G68" s="8">
        <f>E68*F68</f>
        <v>40000</v>
      </c>
    </row>
    <row r="69" customHeight="1" spans="2:7">
      <c r="B69" s="8">
        <v>3</v>
      </c>
      <c r="C69" s="17" t="s">
        <v>176</v>
      </c>
      <c r="D69" s="17" t="s">
        <v>179</v>
      </c>
      <c r="E69" s="8">
        <v>4</v>
      </c>
      <c r="F69" s="8">
        <v>10000</v>
      </c>
      <c r="G69" s="8">
        <f>E69*F69</f>
        <v>40000</v>
      </c>
    </row>
    <row r="70" customHeight="1" spans="2:7">
      <c r="B70" s="11"/>
      <c r="C70" s="12"/>
      <c r="D70" s="12"/>
      <c r="E70" s="12"/>
      <c r="F70" s="19" t="s">
        <v>122</v>
      </c>
      <c r="G70" s="20">
        <f>SUM(G67:G69)</f>
        <v>140000</v>
      </c>
    </row>
    <row r="71" customHeight="1" spans="2:7">
      <c r="B71" s="11"/>
      <c r="C71" s="12"/>
      <c r="D71" s="12"/>
      <c r="E71" s="12"/>
      <c r="F71" s="19" t="s">
        <v>123</v>
      </c>
      <c r="G71" s="20"/>
    </row>
    <row r="72" customHeight="1" spans="2:7">
      <c r="B72" s="11"/>
      <c r="C72" s="12"/>
      <c r="D72" s="12"/>
      <c r="E72" s="12"/>
      <c r="F72" s="19" t="s">
        <v>124</v>
      </c>
      <c r="G72" s="20">
        <f>G70+G71</f>
        <v>140000</v>
      </c>
    </row>
    <row r="74" customHeight="1" spans="2:4">
      <c r="B74" s="4" t="s">
        <v>108</v>
      </c>
      <c r="D74" s="13" t="s">
        <v>180</v>
      </c>
    </row>
    <row r="75" customHeight="1" spans="2:7">
      <c r="B75" s="5" t="s">
        <v>0</v>
      </c>
      <c r="C75" s="6" t="s">
        <v>110</v>
      </c>
      <c r="D75" s="7" t="s">
        <v>111</v>
      </c>
      <c r="E75" s="5" t="s">
        <v>112</v>
      </c>
      <c r="F75" s="5" t="s">
        <v>113</v>
      </c>
      <c r="G75" s="5" t="s">
        <v>114</v>
      </c>
    </row>
    <row r="76" customHeight="1" spans="2:7">
      <c r="B76" s="8">
        <v>1</v>
      </c>
      <c r="C76" s="17" t="s">
        <v>181</v>
      </c>
      <c r="D76" s="17" t="s">
        <v>182</v>
      </c>
      <c r="E76" s="8">
        <v>1</v>
      </c>
      <c r="F76" s="8">
        <v>15000</v>
      </c>
      <c r="G76" s="8">
        <f t="shared" ref="G76:G78" si="1">E76*F76</f>
        <v>15000</v>
      </c>
    </row>
    <row r="77" customHeight="1" spans="2:7">
      <c r="B77" s="8">
        <v>2</v>
      </c>
      <c r="C77" s="17" t="s">
        <v>183</v>
      </c>
      <c r="D77" s="17" t="s">
        <v>184</v>
      </c>
      <c r="E77" s="8">
        <v>2</v>
      </c>
      <c r="F77" s="8">
        <v>15000</v>
      </c>
      <c r="G77" s="8">
        <f t="shared" si="1"/>
        <v>30000</v>
      </c>
    </row>
    <row r="78" customHeight="1" spans="2:7">
      <c r="B78" s="8">
        <v>3</v>
      </c>
      <c r="C78" s="17" t="s">
        <v>185</v>
      </c>
      <c r="D78" s="17" t="s">
        <v>186</v>
      </c>
      <c r="E78" s="8">
        <v>3</v>
      </c>
      <c r="F78" s="8">
        <v>15000</v>
      </c>
      <c r="G78" s="8">
        <f t="shared" si="1"/>
        <v>45000</v>
      </c>
    </row>
    <row r="79" customHeight="1" spans="2:7">
      <c r="B79" s="11"/>
      <c r="C79" s="12"/>
      <c r="D79" s="12"/>
      <c r="E79" s="12"/>
      <c r="F79" s="19" t="s">
        <v>122</v>
      </c>
      <c r="G79" s="20">
        <f>SUM(G76:G78)</f>
        <v>90000</v>
      </c>
    </row>
    <row r="80" customHeight="1" spans="2:7">
      <c r="B80" s="11"/>
      <c r="C80" s="12"/>
      <c r="D80" s="12"/>
      <c r="E80" s="12"/>
      <c r="F80" s="19" t="s">
        <v>123</v>
      </c>
      <c r="G80" s="20"/>
    </row>
    <row r="81" customHeight="1" spans="2:7">
      <c r="B81" s="11"/>
      <c r="C81" s="12"/>
      <c r="D81" s="12"/>
      <c r="E81" s="12"/>
      <c r="F81" s="19" t="s">
        <v>124</v>
      </c>
      <c r="G81" s="20">
        <f>G79+G80</f>
        <v>90000</v>
      </c>
    </row>
    <row r="83" customHeight="1" spans="2:4">
      <c r="B83" s="4" t="s">
        <v>108</v>
      </c>
      <c r="D83" s="13" t="s">
        <v>187</v>
      </c>
    </row>
    <row r="84" customHeight="1" spans="2:7">
      <c r="B84" s="5" t="s">
        <v>0</v>
      </c>
      <c r="C84" s="6" t="s">
        <v>110</v>
      </c>
      <c r="D84" s="7" t="s">
        <v>111</v>
      </c>
      <c r="E84" s="5" t="s">
        <v>112</v>
      </c>
      <c r="F84" s="5" t="s">
        <v>113</v>
      </c>
      <c r="G84" s="5" t="s">
        <v>114</v>
      </c>
    </row>
    <row r="85" customHeight="1" spans="2:7">
      <c r="B85" s="8">
        <v>1</v>
      </c>
      <c r="C85" s="17" t="s">
        <v>188</v>
      </c>
      <c r="D85" s="17" t="s">
        <v>189</v>
      </c>
      <c r="E85" s="8">
        <v>6</v>
      </c>
      <c r="F85" s="8">
        <v>3500</v>
      </c>
      <c r="G85" s="8">
        <f>E85*F85</f>
        <v>21000</v>
      </c>
    </row>
    <row r="86" customHeight="1" spans="2:7">
      <c r="B86" s="8">
        <v>2</v>
      </c>
      <c r="C86" s="17" t="s">
        <v>190</v>
      </c>
      <c r="D86" s="17" t="s">
        <v>191</v>
      </c>
      <c r="E86" s="8">
        <v>3</v>
      </c>
      <c r="F86" s="8">
        <v>15000</v>
      </c>
      <c r="G86" s="8">
        <f>E86*F86</f>
        <v>45000</v>
      </c>
    </row>
    <row r="87" customHeight="1" spans="2:7">
      <c r="B87" s="11"/>
      <c r="C87" s="12"/>
      <c r="D87" s="12"/>
      <c r="E87" s="12"/>
      <c r="F87" s="19" t="s">
        <v>122</v>
      </c>
      <c r="G87" s="20">
        <f>SUM(G85:G86)</f>
        <v>66000</v>
      </c>
    </row>
    <row r="88" customHeight="1" spans="2:7">
      <c r="B88" s="11"/>
      <c r="C88" s="12"/>
      <c r="D88" s="12"/>
      <c r="E88" s="12"/>
      <c r="F88" s="19" t="s">
        <v>123</v>
      </c>
      <c r="G88" s="20"/>
    </row>
    <row r="89" customHeight="1" spans="2:7">
      <c r="B89" s="11"/>
      <c r="C89" s="12"/>
      <c r="D89" s="12"/>
      <c r="E89" s="12"/>
      <c r="F89" s="19" t="s">
        <v>124</v>
      </c>
      <c r="G89" s="20">
        <f>G87+G88</f>
        <v>66000</v>
      </c>
    </row>
    <row r="91" customHeight="1" spans="2:4">
      <c r="B91" s="4" t="s">
        <v>108</v>
      </c>
      <c r="D91" s="13" t="s">
        <v>192</v>
      </c>
    </row>
    <row r="92" customHeight="1" spans="2:7">
      <c r="B92" s="5" t="s">
        <v>0</v>
      </c>
      <c r="C92" s="6" t="s">
        <v>110</v>
      </c>
      <c r="D92" s="7" t="s">
        <v>111</v>
      </c>
      <c r="E92" s="5" t="s">
        <v>112</v>
      </c>
      <c r="F92" s="5" t="s">
        <v>113</v>
      </c>
      <c r="G92" s="5" t="s">
        <v>114</v>
      </c>
    </row>
    <row r="93" customHeight="1" spans="2:7">
      <c r="B93" s="8">
        <v>1</v>
      </c>
      <c r="C93" s="14" t="s">
        <v>193</v>
      </c>
      <c r="D93" s="14" t="s">
        <v>194</v>
      </c>
      <c r="E93" s="8">
        <v>1</v>
      </c>
      <c r="F93" s="8">
        <v>114000</v>
      </c>
      <c r="G93" s="8">
        <f>E93*F93</f>
        <v>114000</v>
      </c>
    </row>
    <row r="94" customHeight="1" spans="2:7">
      <c r="B94" s="11"/>
      <c r="C94" s="12"/>
      <c r="D94" s="12"/>
      <c r="E94" s="12"/>
      <c r="F94" s="19" t="s">
        <v>122</v>
      </c>
      <c r="G94" s="20">
        <f>SUM(G93:G93)</f>
        <v>114000</v>
      </c>
    </row>
    <row r="95" customHeight="1" spans="2:7">
      <c r="B95" s="11"/>
      <c r="C95" s="12"/>
      <c r="D95" s="12"/>
      <c r="E95" s="12"/>
      <c r="F95" s="19" t="s">
        <v>123</v>
      </c>
      <c r="G95" s="20"/>
    </row>
    <row r="96" customHeight="1" spans="2:7">
      <c r="B96" s="11"/>
      <c r="C96" s="12"/>
      <c r="D96" s="12"/>
      <c r="E96" s="12"/>
      <c r="F96" s="19" t="s">
        <v>124</v>
      </c>
      <c r="G96" s="20">
        <f>G94+G95</f>
        <v>114000</v>
      </c>
    </row>
  </sheetData>
  <hyperlinks>
    <hyperlink ref="C4" r:id="rId1" display="Socket IC 14 Pin - Socket 14 Pin" tooltip="https://www.tokopedia.com/smgjayatronik/socket-ic-14-pin-socket-14-pin"/>
    <hyperlink ref="C5" r:id="rId2" display="CD4071BE CD4071 IC 4071 PDIP-14" tooltip="https://www.tokopedia.com/smgjayatronik/cd4071be-cd4071-ic-4071-pdip-14-1729801493127333767"/>
    <hyperlink ref="C7" r:id="rId3" display="PCB IC Titik-Matrix TW 19.5 x 9 cm" tooltip="https://www.tokopedia.com/smgjayatronik/pcb-ic-titik-matrix-tw-19-5-x-9-cm"/>
    <hyperlink ref="C6" r:id="rId4" display="CD4071BCM CD4071 SMD IC 4071" tooltip="https://www.tokopedia.com/smgjayatronik/cd4071bcm-cd4071-smd-ic-4071"/>
    <hyperlink ref="D4" r:id="rId1" display="Socket IC 14 Pin" tooltip="https://www.tokopedia.com/smgjayatronik/socket-ic-14-pin-socket-14-pin"/>
    <hyperlink ref="D5" r:id="rId2" display="4071" tooltip="https://www.tokopedia.com/smgjayatronik/cd4071be-cd4071-ic-4071-pdip-14-1729801493127333767"/>
    <hyperlink ref="D7" r:id="rId3" display="PCB Matrix TW 19.5 x 9 cm" tooltip="https://www.tokopedia.com/smgjayatronik/pcb-ic-titik-matrix-tw-19-5-x-9-cm"/>
    <hyperlink ref="D6" r:id="rId4" display="4071 SMD" tooltip="https://www.tokopedia.com/smgjayatronik/cd4071bcm-cd4071-smd-ic-4071"/>
    <hyperlink ref="D2" r:id="rId5" display=": JayaTronik Smg" tooltip="https://www.tokopedia.com/smgjayatronik"/>
    <hyperlink ref="D12" r:id="rId6" display=": Central Electronics" tooltip="https://www.tokopedia.com/celectro"/>
    <hyperlink ref="C14" r:id="rId7" display="RELAY G5V-1 5VDC" tooltip="https://www.tokopedia.com/celectro/relay-g5v-1-5vdc"/>
    <hyperlink ref="D14" r:id="rId7" display="RELAY G5V-1 5VDC" tooltip="https://www.tokopedia.com/celectro/relay-g5v-1-5vdc"/>
    <hyperlink ref="D19" r:id="rId8" display=": delta elektronic" tooltip="https://www.tokopedia.com/deltaelektronic"/>
    <hyperlink ref="C21" r:id="rId9" display="mkm 2N7 wesco" tooltip="https://www.tokopedia.com/deltaelektronic/mkm-2n7-wesco"/>
    <hyperlink ref="D28" r:id="rId7" display="Enameled Copper Wire 0.2mm" tooltip="https://www.tokopedia.com/celectro/relay-g5v-1-5vdc"/>
    <hyperlink ref="D26" r:id="rId10" display=": mitrus" tooltip="https://www.tokopedia.com/mitrus-539"/>
    <hyperlink ref="C28" r:id="rId11" display="KAWAT TEMBAGA EMAIL 0.20 MM ENAMEL WIRE COOPER GULUNG DINAMO ILMAIL" tooltip="https://www.tokopedia.com/mitrus-539/kawat-tembaga-email-0-20-mm-enamel-wire-cooper-gulung-dinamo-ilmail-1"/>
    <hyperlink ref="D33" r:id="rId12" display=": Putra Niaga Elektronik" tooltip="https://www.tokopedia.com/putraniagabdg"/>
    <hyperlink ref="C45" r:id="rId13" display="Header Female 2x20 Pin Kaki Panjang pitch 2.54mm 20x2 Double Row Long Pin 2x20p" tooltip="https://www.tokopedia.com/putraniagabdg/header-female-2x20-pin-kaki-panjang-pitch-2-54mm-20x2-double-row-long-pin-2x20p"/>
    <hyperlink ref="C36" r:id="rId14" display="Push on 4p mini PCB / Tact switch Tombol Reset 4pin tinggi 4,3mm" tooltip="https://www.tokopedia.com/putraniagabdg/push-on-4p-mini-pcb-tact-switch-tombol-reset-4pin-tinggi-4-3mm"/>
    <hyperlink ref="C37" r:id="rId15" display="PC817 Optocoupler PC 817 Dip 4pin PC817-1 High Quality" tooltip="https://www.tokopedia.com/putraniagabdg/pc817-optocoupler-pc-817-dip-4pin-pc817-1-high-quality"/>
    <hyperlink ref="C44" r:id="rId16" display="Header Female Baris 2x40 Pin 2.54mm 2 x 20 FCP 2x40p Hitam" tooltip="https://www.tokopedia.com/putraniagabdg/header-female-baris-2x40-pin-2-54mm-2-x-20-fcp-2x40p-hitam"/>
    <hyperlink ref="C42" r:id="rId17" display="Header Male Baris 2x40 Pin 2.54mm 2 x 40 FCP 2x40p Hitam" tooltip="https://www.tokopedia.com/putraniagabdg/header-male-baris-2x40-pin-2-54mm-2-x-40-fcp-2x40p-hitam"/>
    <hyperlink ref="C43" r:id="rId18" display="Header Male Siku 2x40 L 2.54mm 2 x 40 FCP Baris 2x40p Belok R/A" tooltip="https://www.tokopedia.com/putraniagabdg/header-male-siku-2x40-l-2-54mm-2-x-40-fcp-baris-2x40p-belok-r-a-1729824156178613544"/>
    <hyperlink ref="C41" r:id="rId19" display="Header Male Baris 1x40 Pin 2.54mm 1 x 40 FCP 1x40p Hitam" tooltip="https://www.tokopedia.com/putraniagabdg/header-male-baris-1x40-pin-2-54mm-1-x-40-fcp-1x40p-hitam-1729809669501388072"/>
    <hyperlink ref="C38" r:id="rId20" display="(1 Set) Konektor Header 5 Pin 3.96mm Lock 5p 3.96 mm Male Female 5pin" tooltip="https://www.tokopedia.com/putraniagabdg/1-set-konektor-header-5-pin-3-96mm-lock-5p-3-96-mm-male-female-5pin-1729814123560600872"/>
    <hyperlink ref="C40" r:id="rId21" display="(1 Set) Konektor Header 2 Pin 3.96mm Lock 2p 3.96 mm Male Female 2pin" tooltip="https://www.tokopedia.com/putraniagabdg/1-set-konektor-header-2-pin-3-96mm-lock-2p-3-96-mm-male-female-2pin"/>
    <hyperlink ref="C39" r:id="rId22" display="(1 Set) Konektor Header 3 Pin 3.96mm Lock 3p 3.96 mm Male Female 3pin" tooltip="https://www.tokopedia.com/putraniagabdg/1-set-konektor-header-3-pin-3-96mm-lock-3p-3-96-mm-male-female-3pin"/>
    <hyperlink ref="C35" r:id="rId23" display="Tantalum SMD 22uF 10V Kapasitor 22 uF kode 226 dimensi 3528" tooltip="https://www.tokopedia.com/putraniagabdg/tantalum-smd-22uf-10v-kapasitor-22-uf-kode-226-dimensi-3528"/>
    <hyperlink ref="D45" r:id="rId13" display="Header Female 2x20 Pitch 2.54 mm Long Pin" tooltip="https://www.tokopedia.com/putraniagabdg/header-female-2x20-pin-kaki-panjang-pitch-2-54mm-20x2-double-row-long-pin-2x20p"/>
    <hyperlink ref="D37" r:id="rId15" display="Optocoupler PC817" tooltip="https://www.tokopedia.com/putraniagabdg/pc817-optocoupler-pc-817-dip-4pin-pc817-1-high-quality"/>
    <hyperlink ref="D44" r:id="rId16" display="Header Female 2x40 Pitch 2.54 mm" tooltip="https://www.tokopedia.com/putraniagabdg/header-female-baris-2x40-pin-2-54mm-2-x-20-fcp-2x40p-hitam"/>
    <hyperlink ref="D42" r:id="rId17" display="Header Male 2x40 Pitch 2.54 mm" tooltip="https://www.tokopedia.com/putraniagabdg/header-male-baris-2x40-pin-2-54mm-2-x-40-fcp-2x40p-hitam"/>
    <hyperlink ref="D43" r:id="rId18" display="Header Male 2x40 Pitch 2.54 mm Right Angle" tooltip="https://www.tokopedia.com/putraniagabdg/header-male-siku-2x40-l-2-54mm-2-x-40-fcp-baris-2x40p-belok-r-a-1729824156178613544"/>
    <hyperlink ref="D41" r:id="rId19" display="Header Male 1x40 Pitch 2.54 mm" tooltip="https://www.tokopedia.com/putraniagabdg/header-male-baris-1x40-pin-2-54mm-1-x-40-fcp-1x40p-hitam-1729809669501388072"/>
    <hyperlink ref="D38" r:id="rId20" display="(1 Set) Connector JST 5P Pitch 3.96 mm" tooltip="https://www.tokopedia.com/putraniagabdg/1-set-konektor-header-5-pin-3-96mm-lock-5p-3-96-mm-male-female-5pin-1729814123560600872"/>
    <hyperlink ref="D40" r:id="rId21" display="(1 Set) Connector JST 2P Pitch 3.96 mm" tooltip="https://www.tokopedia.com/putraniagabdg/1-set-konektor-header-2-pin-3-96mm-lock-2p-3-96-mm-male-female-2pin"/>
    <hyperlink ref="D39" r:id="rId22" display="(1 Set) Connector JST 3P Pitch 3.96 mm" tooltip="https://www.tokopedia.com/putraniagabdg/1-set-konektor-header-3-pin-3-96mm-lock-3p-3-96-mm-male-female-3pin"/>
    <hyperlink ref="D36" r:id="rId14" display="Tactile switch 6x6 H 4.3 mm" tooltip="https://www.tokopedia.com/putraniagabdg/push-on-4p-mini-pcb-tact-switch-tombol-reset-4pin-tinggi-4-3mm"/>
    <hyperlink ref="D35" r:id="rId23" display="Capacitor Tantalum 22µF 10V 3528" tooltip="https://www.tokopedia.com/putraniagabdg/tantalum-smd-22uf-10v-kapasitor-22-uf-kode-226-dimensi-3528"/>
    <hyperlink ref="D50" r:id="rId24" display=": Lisu Instruments" tooltip="https://www.tokopedia.com/lisuinstrument"/>
    <hyperlink ref="C52" r:id="rId25" display="SS36B 60V 3A Schottky Barrier Rectifier SS36 SMB CTK Electronics" tooltip="https://www.tokopedia.com/lisuinstrument/ss36b-60v-3a-schottky-barrier-rectifier-ss36-smb-ctk-electronics"/>
    <hyperlink ref="C53" r:id="rId26" display="BCX56 NPN 80V 1A 500mW hfe=100~250 Transistor BJT SOT-89-3 CJ Original" tooltip="https://www.tokopedia.com/lisuinstrument/bcx56-npn-80v-1a-500mw-hfe-100-250-transistor-bjt-sot-89-3-cj-original"/>
    <hyperlink ref="C54" r:id="rId27" display="1206 SMD LED SMT Ultra Bright Berbagai Pilihan Warna" tooltip="https://www.tokopedia.com/lisuinstrument/1206-smd-led-smt-ultra-bright-berbagai-pilihan-warna-merah"/>
    <hyperlink ref="C55" r:id="rId28" display="SS36A 60V 3A Schottky Diode SMA DO-214AC SS36 Hottech ORIGINAL" tooltip="https://www.tokopedia.com/lisuinstrument/ss36a-60v-3a-schottky-diode-sma-do-214ac-ss36-hottech-original"/>
    <hyperlink ref="C56" r:id="rId29" display="1uF ±10% 50V X7R 1206 3216(mm) SMD Capacitors MLCC Samsung" tooltip="https://www.tokopedia.com/lisuinstrument/1uf-10-50v-x7r-1206-3216-mm-smd-capacitors-mlcc-samsung"/>
    <hyperlink ref="C57" r:id="rId30" display="100nF 50V X7R ±10% 1206 3216(mm) SMD Ceramic Capacitor CL31B104KBCNNNC" tooltip="https://www.tokopedia.com/lisuinstrument/100nf-50v-x7r-10-1206-3216-mm-smd-ceramic-capacitor-cl31b104kbcnnnc"/>
    <hyperlink ref="C58" r:id="rId31" display="0Ω 1206 ±5% SMD Thick Resistor 0R 0 Walsin WR12X000PTL" tooltip="https://www.tokopedia.com/lisuinstrument/0-1206-5-smd-thick-resistor-0r-0-walsin-wr12x000ptl-1731697760176997861"/>
    <hyperlink ref="C59" r:id="rId32" display="5.1kΩ  1206 ±1% 250mW 200V  ±100ppm/℃ Thick Film Resistors 5.1K 5K1 5101 RC1206FR-075K1L YAGEO" tooltip="https://www.tokopedia.com/lisuinstrument/5-1k-1206-1-250mw-200v-100ppm-thick-film-resistors-5-1k-5k1-5101-rc1206fr-075k1l-yageo"/>
    <hyperlink ref="C60" r:id="rId33" display="10kΩ  1206 ±1% 250mW 200V  ±100ppm/℃ Thick Film Resistors 10k 10 1002 RC1206FR-0710KL YAGEO" tooltip="https://www.tokopedia.com/lisuinstrument/10k-1206-1-250mw-200v-100ppm-thick-film-resistors-10k-10-1002-rc1206fr-0710kl-yageo"/>
    <hyperlink ref="D52" r:id="rId25" display="Schottky SS36 SMB" tooltip="https://www.tokopedia.com/lisuinstrument/ss36b-60v-3a-schottky-barrier-rectifier-ss36-smb-ctk-electronics"/>
    <hyperlink ref="D53" r:id="rId26" display="Transistor BCX56 SOT-89-3" tooltip="https://www.tokopedia.com/lisuinstrument/bcx56-npn-80v-1a-500mw-hfe-100-250-transistor-bjt-sot-89-3-cj-original"/>
    <hyperlink ref="D54" r:id="rId27" display="LED 1206" tooltip="https://www.tokopedia.com/lisuinstrument/1206-smd-led-smt-ultra-bright-berbagai-pilihan-warna-merah"/>
    <hyperlink ref="D55" r:id="rId28" display="Schottky SS36 SMA" tooltip="https://www.tokopedia.com/lisuinstrument/ss36a-60v-3a-schottky-diode-sma-do-214ac-ss36-hottech-original"/>
    <hyperlink ref="D56" r:id="rId29" display="Capacitor MLCC 1uF 50V X7R 1206" tooltip="https://www.tokopedia.com/lisuinstrument/1uf-10-50v-x7r-1206-3216-mm-smd-capacitors-mlcc-samsung"/>
    <hyperlink ref="D57" r:id="rId30" display="Capacitor MLCC 100nF 50V X7R 1206" tooltip="https://www.tokopedia.com/lisuinstrument/100nf-50v-x7r-10-1206-3216-mm-smd-ceramic-capacitor-cl31b104kbcnnnc"/>
    <hyperlink ref="D58" r:id="rId31" display="Resistor 0Ω 1206" tooltip="https://www.tokopedia.com/lisuinstrument/0-1206-5-smd-thick-resistor-0r-0-walsin-wr12x000ptl-1731697760176997861"/>
    <hyperlink ref="D59" r:id="rId32" display="Resistor 5.1kΩ  1206" tooltip="https://www.tokopedia.com/lisuinstrument/5-1k-1206-1-250mw-200v-100ppm-thick-film-resistors-5-1k-5k1-5101-rc1206fr-075k1l-yageo"/>
    <hyperlink ref="D60" r:id="rId33" display="Resistor 10kΩ  1206" tooltip="https://www.tokopedia.com/lisuinstrument/10k-1206-1-250mw-200v-100ppm-thick-film-resistors-10k-10-1002-rc1206fr-0710kl-yageo"/>
    <hyperlink ref="C67" r:id="rId34" display="LM2576S LM2576HVS ADJ 3.3 5.0 12 IC Regulator Switching SMD To-263-5" tooltip="https://www.tokopedia.com/starelektro-1/lm2576s-lm2576hvs-adj-3-3-5-0-12-ic-regulator-switching-smd-to-263-5-4pcs-12volt-cfe9f"/>
    <hyperlink ref="C68" r:id="rId35" display="LM2576S LM2576HVS ADJ 3.3 5.0 12 IC Regulator Switching SMD To-263-5" tooltip="https://www.tokopedia.com/starelektro-1/lm2576s-lm2576hvs-adj-3-3-5-0-12-ic-regulator-switching-smd-to-263-5-4pcs-5volt-61057"/>
    <hyperlink ref="C69" r:id="rId36" display="LM2576S LM2576HVS ADJ 3.3 5.0 12 IC Regulator Switching SMD To-263-5" tooltip="https://www.tokopedia.com/starelektro-1/lm2576s-lm2576hvs-adj-3-3-5-0-12-ic-regulator-switching-smd-to-263-5-4pcs-3-3volt-406d1"/>
    <hyperlink ref="D67" r:id="rId34" display="LM2576S-12 TO-263-5" tooltip="https://www.tokopedia.com/starelektro-1/lm2576s-lm2576hvs-adj-3-3-5-0-12-ic-regulator-switching-smd-to-263-5-4pcs-12volt-cfe9f"/>
    <hyperlink ref="D68" r:id="rId35" display="LM2576S-5 TO-263-5" tooltip="https://www.tokopedia.com/starelektro-1/lm2576s-lm2576hvs-adj-3-3-5-0-12-ic-regulator-switching-smd-to-263-5-4pcs-5volt-61057"/>
    <hyperlink ref="D69" r:id="rId36" display="LM2576S-3.3 TO-263-5" tooltip="https://www.tokopedia.com/starelektro-1/lm2576s-lm2576hvs-adj-3-3-5-0-12-ic-regulator-switching-smd-to-263-5-4pcs-3-3volt-406d1"/>
    <hyperlink ref="D65" r:id="rId37" display=": StarElektro_NEW" tooltip="https://www.tokopedia.com/starelektro-1"/>
    <hyperlink ref="D74" r:id="rId38" display=": Dns Electronic" tooltip="https://www.tokopedia.com/dnselectronic"/>
    <hyperlink ref="C76" r:id="rId39" display="WIMA 2n2 630V MKP10" tooltip="https://www.tokopedia.com/dnselectronic/wima-2n2-630v-mkp10"/>
    <hyperlink ref="C77" r:id="rId40" display="WIMA 3n3 630V MKP10" tooltip="https://www.tokopedia.com/dnselectronic/wima-3n3-630v-mkp10"/>
    <hyperlink ref="C78" r:id="rId41" display="WIMA 4n7 630V MKP10" tooltip="https://www.tokopedia.com/dnselectronic/wima-4n7-630v-mkp10"/>
    <hyperlink ref="D76" r:id="rId39" display="Capacitor 2n2 630V MKP10" tooltip="https://www.tokopedia.com/dnselectronic/wima-2n2-630v-mkp10"/>
    <hyperlink ref="D77" r:id="rId40" display="Capacitor 3n3 630V MKP10" tooltip="https://www.tokopedia.com/dnselectronic/wima-3n3-630v-mkp10"/>
    <hyperlink ref="D78" r:id="rId41" display="Capacitor 4n7 630V MKP10" tooltip="https://www.tokopedia.com/dnselectronic/wima-4n7-630v-mkp10"/>
    <hyperlink ref="D21" r:id="rId9" display="Capacitor MKM 2n7 600V" tooltip="https://www.tokopedia.com/deltaelektronic/mkm-2n7-wesco"/>
    <hyperlink ref="D83" r:id="rId38" display=": SIKIL GANGSAL" tooltip="https://www.tokopedia.com/dnselectronic"/>
    <hyperlink ref="C85" r:id="rId42" display="Solid kapasitor capasitor elko elco SMD 100uf 50v 10x10 High quality" tooltip="https://www.tokopedia.com/jayenk/solid-kapasitor-capasitor-elko-elco-smd-100uf-50v-10x10-high-quality"/>
    <hyperlink ref="C86" r:id="rId43" display="Solid kapasitor capasitor elko elco SMD 680uf 35v 680uf VZS size 10x10" tooltip="https://www.tokopedia.com/jayenk/solid-kapasitor-capasitor-elko-elco-smd-680uf-35v-680uf-vzs-size-10x10"/>
    <hyperlink ref="D85" r:id="rId42" display="Solid Capacitor 100µf 50v 10x10" tooltip="https://www.tokopedia.com/jayenk/solid-kapasitor-capasitor-elko-elco-smd-100uf-50v-10x10-high-quality"/>
    <hyperlink ref="D86" r:id="rId43" display="Solid Capacitor 680uf 35v 10x10" tooltip="https://www.tokopedia.com/jayenk/solid-kapasitor-capasitor-elko-elco-smd-680uf-35v-680uf-vzs-size-10x10"/>
    <hyperlink ref="C93" r:id="rId44" display="ESP32 S3 WROOM ESP32-S3-WROOM-1U Chip Module 8MB PSRAM" tooltip="https://www.tokopedia.com/the-diy-store/esp32-s3-wroom-esp32-s3-wroom-1u-chip-module-8mb-psram-n16r8-16mb"/>
    <hyperlink ref="D91" r:id="rId45" display=": Cha's Instrument" tooltip="https://www.tokopedia.com/the-diy-store"/>
    <hyperlink ref="D93" r:id="rId44" display="ESP32-S3-WROOM-1U N16R8" tooltip="https://www.tokopedia.com/the-diy-store/esp32-s3-wroom-esp32-s3-wroom-1u-chip-module-8mb-psram-n16r8-16mb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margabudi</dc:creator>
  <cp:lastModifiedBy>MM</cp:lastModifiedBy>
  <dcterms:created xsi:type="dcterms:W3CDTF">2025-08-05T22:21:00Z</dcterms:created>
  <dcterms:modified xsi:type="dcterms:W3CDTF">2025-08-07T10:12:47Z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10DDC73137040DB202BF916828F31FFD_41</vt:lpwstr>
  </property>
  <property fmtid="{D5CDD505-2E9C-101B-9397-08002B2CF9AE}" pid="3" name="KSOProductBuildVer">
    <vt:lpwstr>1033-6.13.1.8709</vt:lpwstr>
  </property>
</Properties>
</file>