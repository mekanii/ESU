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60"/>
  </bookViews>
  <sheets>
    <sheet name="Merge" sheetId="2" r:id="rId1"/>
    <sheet name="Per Module" sheetId="1" r:id="rId2"/>
  </sheets>
  <definedNames>
    <definedName name="_xlnm._FilterDatabase" localSheetId="0" hidden="1">Merge!$A$1:$G$54</definedName>
    <definedName name="_xlnm._FilterDatabase" localSheetId="1" hidden="1">'Per Module'!$A$1:$G$72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<sst xmlns="http://schemas.openxmlformats.org/spreadsheetml/2006/main" count="544" uniqueCount="195">
  <si>
    <t>Id</t>
  </si>
  <si>
    <t>Reference</t>
  </si>
  <si>
    <t>Value</t>
  </si>
  <si>
    <t>Quantity</t>
  </si>
  <si>
    <t>Footprint</t>
  </si>
  <si>
    <t>Supplier</t>
  </si>
  <si>
    <t>Link</t>
  </si>
  <si>
    <t>C</t>
  </si>
  <si>
    <t>100nF 100V</t>
  </si>
  <si>
    <t>C_Rect_L7.2mm_W3.5mm_P5.00mm_FKS2_FKP2_MKS2_MKP2</t>
  </si>
  <si>
    <t>Elantech</t>
  </si>
  <si>
    <t>https://www.tokopedia.com/elantech/wima-100nf-104-0-1uf-j-100v-capacitor-kapasitor-elantech</t>
  </si>
  <si>
    <t>1000µF 160V</t>
  </si>
  <si>
    <t>CP_Radial_D22.0mm_P10.00mm_SnapIn</t>
  </si>
  <si>
    <t>elektrikkomponen</t>
  </si>
  <si>
    <t>https://www.tokopedia.com/elektrikkomponen/nichicon-elco-elko-1000uf-160v-original</t>
  </si>
  <si>
    <t>6.8nF</t>
  </si>
  <si>
    <t>C_Rect_L13.0mm_W5.0mm_P10.00mm_FKS3_FKP3_MKS4</t>
  </si>
  <si>
    <t>2.2nF</t>
  </si>
  <si>
    <t>2.2nF 100</t>
  </si>
  <si>
    <t>C_Rect_L7.0mm_W3.5mm_P5.00mm</t>
  </si>
  <si>
    <t>https://www.tokopedia.com/wonderland-elec/wima-fkp-2-222-2200pf-0-0022uf-100v-black-print</t>
  </si>
  <si>
    <t>10nF 63</t>
  </si>
  <si>
    <t>https://www.tokopedia.com/elantech/wima-10nf-103-0-01uf-j-63v-capacitor-kapasitor-elantech</t>
  </si>
  <si>
    <t>0.022µF 400</t>
  </si>
  <si>
    <t>https://www.tokopedia.com/wonderland-elec/genuine-wima-mkp10-capacitors-0-022uf-22nf-400v-10</t>
  </si>
  <si>
    <t>100nF 100</t>
  </si>
  <si>
    <t>0.1µF 400</t>
  </si>
  <si>
    <t>https://www.tokopedia.com/wonderland-elec/wima-mkp10-0-1uf-100nf-400v-250v-10</t>
  </si>
  <si>
    <t>470µF 50V</t>
  </si>
  <si>
    <t>CP_Radial_D12.5mm_P5.00mm</t>
  </si>
  <si>
    <t>https://www.tokopedia.com/wonderland-elec/panasonic-fm-470uf-50v-very-low-impedance-electrolytic-capacitor-105-c</t>
  </si>
  <si>
    <t>0.022µF 400V</t>
  </si>
  <si>
    <t>22nF 100</t>
  </si>
  <si>
    <t>https://www.tokopedia.com/elantech/wima-22nf-223-0-022uf-j-100v-capacitor-kapasitor-elantech</t>
  </si>
  <si>
    <t>470uF 50V</t>
  </si>
  <si>
    <t>0.01µF 1000</t>
  </si>
  <si>
    <t>https://www.tokopedia.com/wonderland-elec/genuine-wima-mkp10-0-01uf-10nf-1000v-600v</t>
  </si>
  <si>
    <t>CR</t>
  </si>
  <si>
    <t>STTH1002CT</t>
  </si>
  <si>
    <t>TO-220-3_Vertical</t>
  </si>
  <si>
    <t>StarElektro</t>
  </si>
  <si>
    <t>https://www.tokopedia.com/starelektro-1/stth1002ct-stth1002-st-fast-recovery-diode-to-220-dioda-1020-10a-200v</t>
  </si>
  <si>
    <t>D</t>
  </si>
  <si>
    <t>1N4746A</t>
  </si>
  <si>
    <t>D_DO-41_SOD81_P10.16mm_Horizontal</t>
  </si>
  <si>
    <t>SIVALI TUNGGAL</t>
  </si>
  <si>
    <t>https://www.tokopedia.com/sivali-tunggal/dioda-zener-1n47-42a-46a-1-watt-original-semtech-1n47-46a-18v-bebf6</t>
  </si>
  <si>
    <t>SB5H100/ SB5100</t>
  </si>
  <si>
    <t>D_DO-201AE_P15.24mm_Horizontal</t>
  </si>
  <si>
    <t>Electronic Thingies</t>
  </si>
  <si>
    <t>https://www.tokopedia.com/thingie/sb5100-do201ad-vishay-diode-5100-dioda-sr5100</t>
  </si>
  <si>
    <t>1.5KE56A</t>
  </si>
  <si>
    <t>https://www.tokopedia.com/thingie/1-5ke56a-do201-vishay-tvs-diode-dioda-1-5ke-56a</t>
  </si>
  <si>
    <t>10A10</t>
  </si>
  <si>
    <t>Mirorim.Indonesia</t>
  </si>
  <si>
    <t>https://www.tokopedia.com/mirorim/rectifier-diode-original-10a10-1000v-10a-dioda-penyearah-power-adaptor</t>
  </si>
  <si>
    <t>1N4148</t>
  </si>
  <si>
    <t>D_DO-35_SOD27_P7.62mm_Horizontal</t>
  </si>
  <si>
    <t>https://www.tokopedia.com/elantech/1n4148-diode-fairchild-semtech-1n-4148-substitusi-1n914-dioda-elantech-fairchild</t>
  </si>
  <si>
    <t>byv26</t>
  </si>
  <si>
    <t>https://www.tokopedia.com/akaspro/byv26-byv26c-orginal</t>
  </si>
  <si>
    <t>HER208</t>
  </si>
  <si>
    <t>D_DO-34_SOD68_P7.62mm_Horizontal</t>
  </si>
  <si>
    <t>https://www.tokopedia.com/indo-ware/dioda-her208-her-208-do-41-diode</t>
  </si>
  <si>
    <t>J</t>
  </si>
  <si>
    <t>PinSocket_2x16_P2.54mm_Vertical</t>
  </si>
  <si>
    <t>PinSocket_1x16_P2.54mm_Vertical_2</t>
  </si>
  <si>
    <t>PinSocket_2x04_P2.54mm_Vertical</t>
  </si>
  <si>
    <t>PinSocket_2x05_P2.54mm_Vertical</t>
  </si>
  <si>
    <t>Molex_KK-396_5273-03A</t>
  </si>
  <si>
    <t>Molex_KK-396_5273-03A_1x03_P3.96mm_Vertical_2</t>
  </si>
  <si>
    <t>S3-Satria Secure&amp;Safety</t>
  </si>
  <si>
    <t>https://www.tokopedia.com/s3-satriasecure/3-pin-1set-socket-3-96mm-besar-molex-3p-ch-3-96mm-header-terminal-3-pin-kaki-kabel-soket-molek-3-96mm-header-3pin-konektor-3kaki-3-96-mm-3-96</t>
  </si>
  <si>
    <t>Molex_KK-396_5273-05A</t>
  </si>
  <si>
    <t>Molex_KK-396_5273-05A_1x05_P3.96mm_Vertical_2</t>
  </si>
  <si>
    <t>https://www.tokopedia.com/s3-satriasecure/5-pin-1set-socket-3-96mm-besar-molex-5p-ch-3-96mm-header-terminal-5-pin-kaki-kabel-soket-molek-3-96mm-header-5pin-konektor-5kaki-3-96-mm-3-96</t>
  </si>
  <si>
    <t>KF7.62-4Pole</t>
  </si>
  <si>
    <t>https://www.tokopedia.com/mirorim/pcb-terminal-blok-2-3-4-pin-pole-block-pitch-7-62mm-kf7-62-kf-7-62-hitam-4p</t>
  </si>
  <si>
    <t>PinHeader_2.54mm 02x04 Horizontal</t>
  </si>
  <si>
    <t>PinHeader_1x04_P2.54mm_Horizontal_2</t>
  </si>
  <si>
    <t>PinHeader_2.54mm 02x05 Horizontal</t>
  </si>
  <si>
    <t>PinHeader_1x03_P5.08mm_Horizontal_2</t>
  </si>
  <si>
    <t>K</t>
  </si>
  <si>
    <t>RAYEX-L90</t>
  </si>
  <si>
    <t>Relay_SPDT_RAYEX-L90</t>
  </si>
  <si>
    <t>https://www.tokopedia.com/mirorim/relay-pcb-songle-30a-sla-12vdc-sl-c-05vdc-sl-a-single-pole-dual-single-throw-spdt-spst-4-6-pin-5v-12v-dc-sla-12vdc-sl-c-d8caa</t>
  </si>
  <si>
    <t>L</t>
  </si>
  <si>
    <t>L_Axial_L9.5mm_D4.0mm_P15.24mm_Horizontal_Fastron_SMCC</t>
  </si>
  <si>
    <t>Isolated Transformer (Custom)</t>
  </si>
  <si>
    <t>L_CommonMode_Toroid_Horizontal_OD23mm_ID14mm_H8mm</t>
  </si>
  <si>
    <t>https://www.tokopedia.com/eltech-online/ring-magnet-speaker-toroid-ferrit-core-coil-inductor-cable-cincin-bulat-induktor-ferit-14-23mm-d3392</t>
  </si>
  <si>
    <t>Q</t>
  </si>
  <si>
    <t>IRFPE50</t>
  </si>
  <si>
    <t>TO-247-3_Vertical</t>
  </si>
  <si>
    <t>https://www.tokopedia.com/starelektro-1/irfpe50-irf-pe50-irfpe-50-mosfet-n-channel-7-8a-800v-190w-to-247</t>
  </si>
  <si>
    <t>IRF840</t>
  </si>
  <si>
    <t>TO-220-3_Horizontal_TabDown</t>
  </si>
  <si>
    <t>https://www.tokopedia.com/indo-ware/irf840-irf-840-irf840-irf-840</t>
  </si>
  <si>
    <t>R</t>
  </si>
  <si>
    <t>6.2Ω 2W / 6.8Ω 2W</t>
  </si>
  <si>
    <t>R_Axial_DIN0411_L9.9mm_D3.6mm_P15.24mm_Horizontal</t>
  </si>
  <si>
    <t>https://www.tokopedia.com/elantech/resistor-6r8-2w-uniohm-metal-oxide-6-8-ohm-miniature-size-1w-elantech</t>
  </si>
  <si>
    <t>100kΩ</t>
  </si>
  <si>
    <t>R_Axial_DIN0204_L3.6mm_D1.6mm_P7.62mm_Horizontal</t>
  </si>
  <si>
    <t>https://www.tokopedia.com/elantech/resistor-yageo-100k-1-4w-1-0-25w-1-4-w-100-kilo-ohm-elantech</t>
  </si>
  <si>
    <t>120Ω 2W</t>
  </si>
  <si>
    <t>R_Axial_DIN0516_L15.5mm_D5.0mm_P20.32mm_Horizontal</t>
  </si>
  <si>
    <t>https://www.tokopedia.com/elantech/resistor-2w-120r-taiwan-1-metal-oxide-120-ohm-mini-size-2ws-elantech</t>
  </si>
  <si>
    <t>1kΩ</t>
  </si>
  <si>
    <t>https://www.tokopedia.com/elantech/resistor-yageo-1k-1-4w-1-0-25w-1-k-1-4-w-1-kilo-ohm-elantech</t>
  </si>
  <si>
    <t>5.6kΩ</t>
  </si>
  <si>
    <t>https://www.tokopedia.com/elantech/resistor-yageo-5k6-1-4w-1-0-25w-5-6k-1-4-w-5-6-kilo-ohm-elantech</t>
  </si>
  <si>
    <t>330Ω</t>
  </si>
  <si>
    <t>https://www.tokopedia.com/elantech/resistor-yageo-330r-1-4w-1-0-25w-1-4-w-330-ohm-elantech</t>
  </si>
  <si>
    <t>10k</t>
  </si>
  <si>
    <t>https://www.tokopedia.com/elantech/resistor-yageo-10k-1-4w-1-0-25w-1-4-w-10-kilo-ohm-elantech</t>
  </si>
  <si>
    <t>4.7kΩ</t>
  </si>
  <si>
    <t>https://www.tokopedia.com/elantech/resistor-yageo-4k7-1-4w-1-0-25w-4-7k-1-4-w-4-7-kilo-ohm-elantech</t>
  </si>
  <si>
    <t>3.3Ω 2W</t>
  </si>
  <si>
    <t>R_Axial_DIN0414_L11.9mm_D4.5mm_P20.32mm_Horizontal</t>
  </si>
  <si>
    <t>https://www.tokopedia.com/elantech/resistor-3r3-2w-uniohm-metal-oxide-3-3-ohm-miniature-size-1w-elantech</t>
  </si>
  <si>
    <t>RV</t>
  </si>
  <si>
    <t>5kΩ</t>
  </si>
  <si>
    <t>Potentiometer_Bourns_3296X_Horizontal</t>
  </si>
  <si>
    <t>https://www.tokopedia.com/eltech-online/5k-ohm-5-k-ohm-3296x-multiturn-side-adjust-trimpot-potensiometer</t>
  </si>
  <si>
    <t>SC</t>
  </si>
  <si>
    <t>DIP-08 IC Socket</t>
  </si>
  <si>
    <t>https://www.tokopedia.com/indo-ware/soket-ic-8p-socket-ic-8-pin-8pin-dip</t>
  </si>
  <si>
    <t>U</t>
  </si>
  <si>
    <t>TC4422/ TC4420</t>
  </si>
  <si>
    <t>DIP-8_W7.62mm</t>
  </si>
  <si>
    <t>elektromantok</t>
  </si>
  <si>
    <t>https://www.tokopedia.com/elektroman/ic-tc-4420-tc4420</t>
  </si>
  <si>
    <t>~</t>
  </si>
  <si>
    <t>ESU-REM-4.0</t>
  </si>
  <si>
    <t>ESU-MSD-1.0</t>
  </si>
  <si>
    <t>PC817</t>
  </si>
  <si>
    <t>DIP-4_W7.62mm_Socket</t>
  </si>
  <si>
    <t>https://www.tokopedia.com/indo-ware/pc-817-pc817-817-optocoupler-photocoupler-phototransistor</t>
  </si>
  <si>
    <t>NE555P</t>
  </si>
  <si>
    <t>DIP-8_W7.62mm_Socket</t>
  </si>
  <si>
    <t>https://www.tokopedia.com/indo-ware/ne555p-ne555-ne-555-ne555-ne-555-ne555p-dip-ic-precision-timer</t>
  </si>
  <si>
    <t>L1,L3,L5</t>
  </si>
  <si>
    <t>L2,L4,L6</t>
  </si>
  <si>
    <t>L7</t>
  </si>
  <si>
    <t>Q1,Q2,Q3</t>
  </si>
  <si>
    <t>D1,D2,D3</t>
  </si>
  <si>
    <t>D4</t>
  </si>
  <si>
    <t>D5,D6</t>
  </si>
  <si>
    <t>D7</t>
  </si>
  <si>
    <t>D9,D8</t>
  </si>
  <si>
    <t>R1,R2,R3</t>
  </si>
  <si>
    <t>R4</t>
  </si>
  <si>
    <t>R5</t>
  </si>
  <si>
    <t>CR2,CR1</t>
  </si>
  <si>
    <t>C1,C3,C4</t>
  </si>
  <si>
    <t>C2</t>
  </si>
  <si>
    <t>C5</t>
  </si>
  <si>
    <t>C6</t>
  </si>
  <si>
    <t>C5,C6</t>
  </si>
  <si>
    <t>Wonderland Electronic</t>
  </si>
  <si>
    <t>K1,K2</t>
  </si>
  <si>
    <t>U1</t>
  </si>
  <si>
    <t>U2</t>
  </si>
  <si>
    <t>U3</t>
  </si>
  <si>
    <t>U4</t>
  </si>
  <si>
    <t>indo-ware</t>
  </si>
  <si>
    <t>J1</t>
  </si>
  <si>
    <t>J9,J8</t>
  </si>
  <si>
    <t>J2,J3</t>
  </si>
  <si>
    <t>CON-01</t>
  </si>
  <si>
    <t>MSD-1.0</t>
  </si>
  <si>
    <t>R1</t>
  </si>
  <si>
    <t>R2</t>
  </si>
  <si>
    <t>R4,R3</t>
  </si>
  <si>
    <t>C1</t>
  </si>
  <si>
    <t>C3</t>
  </si>
  <si>
    <t>C4</t>
  </si>
  <si>
    <t>L1</t>
  </si>
  <si>
    <t>eltech-online</t>
  </si>
  <si>
    <t>D1</t>
  </si>
  <si>
    <t>akaspro</t>
  </si>
  <si>
    <t>D3,D2</t>
  </si>
  <si>
    <t>Q1</t>
  </si>
  <si>
    <t>U2,U3</t>
  </si>
  <si>
    <t>J2</t>
  </si>
  <si>
    <t>REM-4.0</t>
  </si>
  <si>
    <t>R3</t>
  </si>
  <si>
    <t>R8,R9</t>
  </si>
  <si>
    <t>RV1</t>
  </si>
  <si>
    <t>C5,C6,C8</t>
  </si>
  <si>
    <t>C7</t>
  </si>
  <si>
    <t>C11,C12</t>
  </si>
  <si>
    <t>D2,D3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</si>
</sst>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PT Mono Regular"/>
      <charset val="134"/>
    </font>
    <font>
      <b/>
      <sz val="10"/>
      <color theme="1"/>
      <name val="PT Mono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4"/>
  <sheetViews>
    <sheetView tabSelected="1" topLeftCell="A31" workbookViewId="0">
      <selection activeCell="C59" sqref="C59:C60"/>
    </sheetView>
  </sheetViews>
  <sheetFormatPr defaultColWidth="9" defaultRowHeight="16.8" outlineLevelCol="6"/>
  <cols>
    <col min="1" max="1" width="7.546875" customWidth="1"/>
    <col min="2" max="2" width="20.1875" customWidth="1"/>
    <col min="3" max="3" width="32.5625" customWidth="1"/>
    <col min="4" max="4" width="10.03125" customWidth="1"/>
    <col min="5" max="5" width="92.625" customWidth="1"/>
    <col min="6" max="6" width="24.3125" customWidth="1"/>
    <col min="7" max="7" width="176.8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/>
      <c r="B2" s="3" t="s">
        <v>7</v>
      </c>
      <c r="C2" s="3" t="s">
        <v>8</v>
      </c>
      <c r="D2" s="1">
        <v>3</v>
      </c>
      <c r="E2" s="3" t="s">
        <v>9</v>
      </c>
      <c r="F2" s="1" t="s">
        <v>10</v>
      </c>
      <c r="G2" s="3" t="s">
        <v>11</v>
      </c>
    </row>
    <row r="3" spans="1:7">
      <c r="A3" s="1"/>
      <c r="B3" s="3" t="s">
        <v>7</v>
      </c>
      <c r="C3" s="3" t="s">
        <v>12</v>
      </c>
      <c r="D3" s="1">
        <v>1</v>
      </c>
      <c r="E3" s="3" t="s">
        <v>13</v>
      </c>
      <c r="F3" s="1" t="s">
        <v>14</v>
      </c>
      <c r="G3" s="3" t="s">
        <v>15</v>
      </c>
    </row>
    <row r="4" hidden="1" spans="1:7">
      <c r="A4" s="4"/>
      <c r="B4" s="5" t="s">
        <v>7</v>
      </c>
      <c r="C4" s="5" t="s">
        <v>16</v>
      </c>
      <c r="D4" s="4">
        <v>1</v>
      </c>
      <c r="E4" s="5" t="s">
        <v>17</v>
      </c>
      <c r="F4" s="4"/>
      <c r="G4" s="4"/>
    </row>
    <row r="5" hidden="1" spans="1:7">
      <c r="A5" s="4"/>
      <c r="B5" s="5" t="s">
        <v>7</v>
      </c>
      <c r="C5" s="5" t="s">
        <v>18</v>
      </c>
      <c r="D5" s="4">
        <v>1</v>
      </c>
      <c r="E5" s="5" t="s">
        <v>17</v>
      </c>
      <c r="F5" s="4"/>
      <c r="G5" s="4"/>
    </row>
    <row r="6" spans="1:7">
      <c r="A6" s="1"/>
      <c r="B6" s="3" t="s">
        <v>7</v>
      </c>
      <c r="C6" s="3" t="s">
        <v>19</v>
      </c>
      <c r="D6" s="1">
        <f>1+1</f>
        <v>2</v>
      </c>
      <c r="E6" s="3" t="s">
        <v>20</v>
      </c>
      <c r="F6" s="1"/>
      <c r="G6" s="6" t="s">
        <v>21</v>
      </c>
    </row>
    <row r="7" spans="1:7">
      <c r="A7" s="1"/>
      <c r="B7" s="3" t="s">
        <v>7</v>
      </c>
      <c r="C7" s="3" t="s">
        <v>22</v>
      </c>
      <c r="D7" s="1">
        <f>1+1</f>
        <v>2</v>
      </c>
      <c r="E7" s="3" t="s">
        <v>20</v>
      </c>
      <c r="F7" s="1"/>
      <c r="G7" s="6" t="s">
        <v>23</v>
      </c>
    </row>
    <row r="8" spans="1:7">
      <c r="A8" s="1"/>
      <c r="B8" s="3" t="s">
        <v>7</v>
      </c>
      <c r="C8" s="3" t="s">
        <v>24</v>
      </c>
      <c r="D8" s="1">
        <v>1</v>
      </c>
      <c r="E8" s="3" t="s">
        <v>17</v>
      </c>
      <c r="F8" s="1"/>
      <c r="G8" s="6" t="s">
        <v>25</v>
      </c>
    </row>
    <row r="9" spans="1:7">
      <c r="A9" s="1"/>
      <c r="B9" s="3" t="s">
        <v>7</v>
      </c>
      <c r="C9" s="3" t="s">
        <v>26</v>
      </c>
      <c r="D9" s="1">
        <f>1+3</f>
        <v>4</v>
      </c>
      <c r="E9" s="3" t="s">
        <v>20</v>
      </c>
      <c r="F9" s="1"/>
      <c r="G9" s="6" t="s">
        <v>11</v>
      </c>
    </row>
    <row r="10" spans="1:7">
      <c r="A10" s="1"/>
      <c r="B10" s="3" t="s">
        <v>7</v>
      </c>
      <c r="C10" s="3" t="s">
        <v>27</v>
      </c>
      <c r="D10" s="1">
        <v>1</v>
      </c>
      <c r="E10" s="3" t="s">
        <v>17</v>
      </c>
      <c r="F10" s="1"/>
      <c r="G10" s="3" t="s">
        <v>28</v>
      </c>
    </row>
    <row r="11" spans="1:7">
      <c r="A11" s="1"/>
      <c r="B11" s="3" t="s">
        <v>7</v>
      </c>
      <c r="C11" s="3" t="s">
        <v>29</v>
      </c>
      <c r="D11" s="1">
        <v>1</v>
      </c>
      <c r="E11" s="3" t="s">
        <v>30</v>
      </c>
      <c r="F11" s="1"/>
      <c r="G11" s="6" t="s">
        <v>31</v>
      </c>
    </row>
    <row r="12" spans="1:7">
      <c r="A12" s="1"/>
      <c r="B12" s="3" t="s">
        <v>7</v>
      </c>
      <c r="C12" s="3" t="s">
        <v>32</v>
      </c>
      <c r="D12" s="1">
        <v>1</v>
      </c>
      <c r="E12" s="3" t="s">
        <v>17</v>
      </c>
      <c r="F12" s="1"/>
      <c r="G12" s="6" t="s">
        <v>25</v>
      </c>
    </row>
    <row r="13" spans="1:7">
      <c r="A13" s="1"/>
      <c r="B13" s="3" t="s">
        <v>7</v>
      </c>
      <c r="C13" s="3" t="s">
        <v>33</v>
      </c>
      <c r="D13" s="1">
        <v>1</v>
      </c>
      <c r="E13" s="3" t="s">
        <v>20</v>
      </c>
      <c r="F13" s="1"/>
      <c r="G13" s="6" t="s">
        <v>34</v>
      </c>
    </row>
    <row r="14" spans="1:7">
      <c r="A14" s="1"/>
      <c r="B14" s="3" t="s">
        <v>7</v>
      </c>
      <c r="C14" s="3" t="s">
        <v>35</v>
      </c>
      <c r="D14" s="1">
        <v>1</v>
      </c>
      <c r="E14" s="3" t="s">
        <v>30</v>
      </c>
      <c r="F14" s="1"/>
      <c r="G14" s="6" t="s">
        <v>31</v>
      </c>
    </row>
    <row r="15" spans="1:7">
      <c r="A15" s="1"/>
      <c r="B15" s="3" t="s">
        <v>7</v>
      </c>
      <c r="C15" s="3" t="s">
        <v>36</v>
      </c>
      <c r="D15" s="1">
        <f>2+1</f>
        <v>3</v>
      </c>
      <c r="E15" s="3" t="s">
        <v>17</v>
      </c>
      <c r="F15" s="1"/>
      <c r="G15" s="6" t="s">
        <v>37</v>
      </c>
    </row>
    <row r="16" spans="1:7">
      <c r="A16" s="1"/>
      <c r="B16" s="3" t="s">
        <v>38</v>
      </c>
      <c r="C16" s="3" t="s">
        <v>39</v>
      </c>
      <c r="D16" s="1">
        <v>2</v>
      </c>
      <c r="E16" s="3" t="s">
        <v>40</v>
      </c>
      <c r="F16" s="1" t="s">
        <v>41</v>
      </c>
      <c r="G16" s="3" t="s">
        <v>42</v>
      </c>
    </row>
    <row r="17" spans="1:7">
      <c r="A17" s="1"/>
      <c r="B17" s="3" t="s">
        <v>43</v>
      </c>
      <c r="C17" s="3" t="s">
        <v>44</v>
      </c>
      <c r="D17" s="1">
        <v>3</v>
      </c>
      <c r="E17" s="3" t="s">
        <v>45</v>
      </c>
      <c r="F17" s="1" t="s">
        <v>46</v>
      </c>
      <c r="G17" s="3" t="s">
        <v>47</v>
      </c>
    </row>
    <row r="18" spans="1:7">
      <c r="A18" s="1"/>
      <c r="B18" s="3" t="s">
        <v>43</v>
      </c>
      <c r="C18" s="3" t="s">
        <v>48</v>
      </c>
      <c r="D18" s="1">
        <v>1</v>
      </c>
      <c r="E18" s="3" t="s">
        <v>49</v>
      </c>
      <c r="F18" s="1" t="s">
        <v>50</v>
      </c>
      <c r="G18" s="3" t="s">
        <v>51</v>
      </c>
    </row>
    <row r="19" spans="1:7">
      <c r="A19" s="1"/>
      <c r="B19" s="3" t="s">
        <v>43</v>
      </c>
      <c r="C19" s="3" t="s">
        <v>52</v>
      </c>
      <c r="D19" s="1">
        <v>2</v>
      </c>
      <c r="E19" s="3" t="s">
        <v>49</v>
      </c>
      <c r="F19" s="1" t="s">
        <v>50</v>
      </c>
      <c r="G19" s="3" t="s">
        <v>53</v>
      </c>
    </row>
    <row r="20" spans="1:7">
      <c r="A20" s="1"/>
      <c r="B20" s="3" t="s">
        <v>43</v>
      </c>
      <c r="C20" s="3" t="s">
        <v>54</v>
      </c>
      <c r="D20" s="1">
        <v>1</v>
      </c>
      <c r="E20" s="3" t="s">
        <v>49</v>
      </c>
      <c r="F20" s="1" t="s">
        <v>55</v>
      </c>
      <c r="G20" s="3" t="s">
        <v>56</v>
      </c>
    </row>
    <row r="21" spans="1:7">
      <c r="A21" s="1"/>
      <c r="B21" s="3" t="s">
        <v>43</v>
      </c>
      <c r="C21" s="3" t="s">
        <v>57</v>
      </c>
      <c r="D21" s="1">
        <f>2+2</f>
        <v>4</v>
      </c>
      <c r="E21" s="3" t="s">
        <v>58</v>
      </c>
      <c r="F21" s="1"/>
      <c r="G21" s="6" t="s">
        <v>59</v>
      </c>
    </row>
    <row r="22" spans="1:7">
      <c r="A22" s="1"/>
      <c r="B22" s="3" t="s">
        <v>43</v>
      </c>
      <c r="C22" s="3" t="s">
        <v>60</v>
      </c>
      <c r="D22" s="1">
        <f>1+1</f>
        <v>2</v>
      </c>
      <c r="E22" s="3" t="s">
        <v>58</v>
      </c>
      <c r="F22" s="1"/>
      <c r="G22" s="6" t="s">
        <v>61</v>
      </c>
    </row>
    <row r="23" spans="1:7">
      <c r="A23" s="1"/>
      <c r="B23" s="3" t="s">
        <v>43</v>
      </c>
      <c r="C23" s="3" t="s">
        <v>62</v>
      </c>
      <c r="D23" s="1">
        <v>2</v>
      </c>
      <c r="E23" s="3" t="s">
        <v>63</v>
      </c>
      <c r="F23" s="1"/>
      <c r="G23" s="6" t="s">
        <v>64</v>
      </c>
    </row>
    <row r="24" spans="1:7">
      <c r="A24" s="1"/>
      <c r="B24" s="3" t="s">
        <v>65</v>
      </c>
      <c r="C24" s="3" t="s">
        <v>66</v>
      </c>
      <c r="D24" s="1">
        <v>1</v>
      </c>
      <c r="E24" s="3" t="s">
        <v>67</v>
      </c>
      <c r="F24" s="1"/>
      <c r="G24" s="1"/>
    </row>
    <row r="25" spans="1:7">
      <c r="A25" s="1"/>
      <c r="B25" s="3" t="s">
        <v>65</v>
      </c>
      <c r="C25" s="3" t="s">
        <v>68</v>
      </c>
      <c r="D25" s="1">
        <v>2</v>
      </c>
      <c r="E25" s="1"/>
      <c r="F25" s="1"/>
      <c r="G25" s="1"/>
    </row>
    <row r="26" spans="1:7">
      <c r="A26" s="1"/>
      <c r="B26" s="3" t="s">
        <v>65</v>
      </c>
      <c r="C26" s="3" t="s">
        <v>69</v>
      </c>
      <c r="D26" s="1">
        <v>2</v>
      </c>
      <c r="E26" s="1"/>
      <c r="F26" s="1"/>
      <c r="G26" s="1"/>
    </row>
    <row r="27" spans="1:7">
      <c r="A27" s="1"/>
      <c r="B27" s="3" t="s">
        <v>65</v>
      </c>
      <c r="C27" s="3" t="s">
        <v>70</v>
      </c>
      <c r="D27" s="1">
        <v>2</v>
      </c>
      <c r="E27" s="3" t="s">
        <v>71</v>
      </c>
      <c r="F27" s="1" t="s">
        <v>72</v>
      </c>
      <c r="G27" s="3" t="s">
        <v>73</v>
      </c>
    </row>
    <row r="28" spans="1:7">
      <c r="A28" s="1"/>
      <c r="B28" s="3" t="s">
        <v>65</v>
      </c>
      <c r="C28" s="3" t="s">
        <v>74</v>
      </c>
      <c r="D28" s="1">
        <v>2</v>
      </c>
      <c r="E28" s="3" t="s">
        <v>75</v>
      </c>
      <c r="F28" s="1" t="s">
        <v>72</v>
      </c>
      <c r="G28" s="3" t="s">
        <v>76</v>
      </c>
    </row>
    <row r="29" spans="1:7">
      <c r="A29" s="1"/>
      <c r="B29" s="3" t="s">
        <v>65</v>
      </c>
      <c r="C29" s="3" t="s">
        <v>77</v>
      </c>
      <c r="D29" s="1">
        <v>1</v>
      </c>
      <c r="E29" s="3" t="s">
        <v>77</v>
      </c>
      <c r="F29" s="1" t="s">
        <v>55</v>
      </c>
      <c r="G29" s="3" t="s">
        <v>78</v>
      </c>
    </row>
    <row r="30" spans="1:7">
      <c r="A30" s="1"/>
      <c r="B30" s="3" t="s">
        <v>65</v>
      </c>
      <c r="C30" s="3" t="s">
        <v>79</v>
      </c>
      <c r="D30" s="1">
        <f>1+1</f>
        <v>2</v>
      </c>
      <c r="E30" s="3" t="s">
        <v>80</v>
      </c>
      <c r="F30" s="1"/>
      <c r="G30" s="1"/>
    </row>
    <row r="31" spans="1:7">
      <c r="A31" s="1"/>
      <c r="B31" s="3" t="s">
        <v>65</v>
      </c>
      <c r="C31" s="3" t="s">
        <v>81</v>
      </c>
      <c r="D31" s="1">
        <f>1+1</f>
        <v>2</v>
      </c>
      <c r="E31" s="3" t="s">
        <v>82</v>
      </c>
      <c r="F31" s="1"/>
      <c r="G31" s="1"/>
    </row>
    <row r="32" spans="1:7">
      <c r="A32" s="1"/>
      <c r="B32" s="3" t="s">
        <v>83</v>
      </c>
      <c r="C32" s="3" t="s">
        <v>84</v>
      </c>
      <c r="D32" s="1">
        <v>2</v>
      </c>
      <c r="E32" s="3" t="s">
        <v>85</v>
      </c>
      <c r="F32" s="1" t="s">
        <v>55</v>
      </c>
      <c r="G32" s="3" t="s">
        <v>86</v>
      </c>
    </row>
    <row r="33" spans="1:7">
      <c r="A33" s="1"/>
      <c r="B33" s="3" t="s">
        <v>87</v>
      </c>
      <c r="C33" s="3" t="s">
        <v>87</v>
      </c>
      <c r="D33" s="1">
        <v>3</v>
      </c>
      <c r="E33" s="3" t="s">
        <v>88</v>
      </c>
      <c r="F33" s="1"/>
      <c r="G33" s="1"/>
    </row>
    <row r="34" spans="1:7">
      <c r="A34" s="1"/>
      <c r="B34" s="3" t="s">
        <v>87</v>
      </c>
      <c r="C34" s="3" t="s">
        <v>87</v>
      </c>
      <c r="D34" s="1">
        <v>3</v>
      </c>
      <c r="E34" s="3" t="s">
        <v>88</v>
      </c>
      <c r="F34" s="1"/>
      <c r="G34" s="1"/>
    </row>
    <row r="35" spans="1:7">
      <c r="A35" s="1"/>
      <c r="B35" s="3" t="s">
        <v>87</v>
      </c>
      <c r="C35" s="3" t="s">
        <v>87</v>
      </c>
      <c r="D35" s="1">
        <v>1</v>
      </c>
      <c r="E35" s="3" t="s">
        <v>88</v>
      </c>
      <c r="F35" s="1"/>
      <c r="G35" s="1"/>
    </row>
    <row r="36" spans="1:7">
      <c r="A36" s="1"/>
      <c r="B36" s="3" t="s">
        <v>87</v>
      </c>
      <c r="C36" s="3" t="s">
        <v>89</v>
      </c>
      <c r="D36" s="1">
        <f>1+1</f>
        <v>2</v>
      </c>
      <c r="E36" s="3" t="s">
        <v>90</v>
      </c>
      <c r="F36" s="1"/>
      <c r="G36" s="6" t="s">
        <v>91</v>
      </c>
    </row>
    <row r="37" spans="1:7">
      <c r="A37" s="1"/>
      <c r="B37" s="3" t="s">
        <v>92</v>
      </c>
      <c r="C37" s="3" t="s">
        <v>93</v>
      </c>
      <c r="D37" s="1">
        <v>3</v>
      </c>
      <c r="E37" s="3" t="s">
        <v>94</v>
      </c>
      <c r="F37" s="1" t="s">
        <v>41</v>
      </c>
      <c r="G37" s="3" t="s">
        <v>95</v>
      </c>
    </row>
    <row r="38" spans="1:7">
      <c r="A38" s="1"/>
      <c r="B38" s="3" t="s">
        <v>92</v>
      </c>
      <c r="C38" s="3" t="s">
        <v>96</v>
      </c>
      <c r="D38" s="1">
        <f>1+1</f>
        <v>2</v>
      </c>
      <c r="E38" s="3" t="s">
        <v>97</v>
      </c>
      <c r="F38" s="1"/>
      <c r="G38" s="6" t="s">
        <v>98</v>
      </c>
    </row>
    <row r="39" spans="1:7">
      <c r="A39" s="1"/>
      <c r="B39" s="3" t="s">
        <v>99</v>
      </c>
      <c r="C39" s="3" t="s">
        <v>100</v>
      </c>
      <c r="D39" s="1">
        <v>3</v>
      </c>
      <c r="E39" s="3" t="s">
        <v>101</v>
      </c>
      <c r="F39" s="1" t="s">
        <v>10</v>
      </c>
      <c r="G39" s="3" t="s">
        <v>102</v>
      </c>
    </row>
    <row r="40" spans="1:7">
      <c r="A40" s="1"/>
      <c r="B40" s="3" t="s">
        <v>99</v>
      </c>
      <c r="C40" s="3" t="s">
        <v>103</v>
      </c>
      <c r="D40" s="1">
        <v>1</v>
      </c>
      <c r="E40" s="3" t="s">
        <v>104</v>
      </c>
      <c r="F40" s="1" t="s">
        <v>10</v>
      </c>
      <c r="G40" s="3" t="s">
        <v>105</v>
      </c>
    </row>
    <row r="41" spans="1:7">
      <c r="A41" s="1"/>
      <c r="B41" s="3" t="s">
        <v>99</v>
      </c>
      <c r="C41" s="3" t="s">
        <v>106</v>
      </c>
      <c r="D41" s="1">
        <v>1</v>
      </c>
      <c r="E41" s="3" t="s">
        <v>107</v>
      </c>
      <c r="F41" s="1" t="s">
        <v>10</v>
      </c>
      <c r="G41" s="3" t="s">
        <v>108</v>
      </c>
    </row>
    <row r="42" spans="1:7">
      <c r="A42" s="1"/>
      <c r="B42" s="3" t="s">
        <v>99</v>
      </c>
      <c r="C42" s="3" t="s">
        <v>109</v>
      </c>
      <c r="D42" s="1">
        <f>1+1</f>
        <v>2</v>
      </c>
      <c r="E42" s="3" t="s">
        <v>104</v>
      </c>
      <c r="F42" s="1"/>
      <c r="G42" s="6" t="s">
        <v>110</v>
      </c>
    </row>
    <row r="43" spans="1:7">
      <c r="A43" s="1"/>
      <c r="B43" s="3" t="s">
        <v>99</v>
      </c>
      <c r="C43" s="3" t="s">
        <v>111</v>
      </c>
      <c r="D43" s="1">
        <f>1+1</f>
        <v>2</v>
      </c>
      <c r="E43" s="3" t="s">
        <v>104</v>
      </c>
      <c r="F43" s="1"/>
      <c r="G43" s="6" t="s">
        <v>112</v>
      </c>
    </row>
    <row r="44" spans="1:7">
      <c r="A44" s="1"/>
      <c r="B44" s="3" t="s">
        <v>99</v>
      </c>
      <c r="C44" s="3" t="s">
        <v>113</v>
      </c>
      <c r="D44" s="1">
        <f>2+1</f>
        <v>3</v>
      </c>
      <c r="E44" s="3" t="s">
        <v>104</v>
      </c>
      <c r="F44" s="1"/>
      <c r="G44" s="6" t="s">
        <v>114</v>
      </c>
    </row>
    <row r="45" spans="1:7">
      <c r="A45" s="1"/>
      <c r="B45" s="3" t="s">
        <v>99</v>
      </c>
      <c r="C45" s="3" t="s">
        <v>115</v>
      </c>
      <c r="D45" s="1">
        <v>1</v>
      </c>
      <c r="E45" s="3" t="s">
        <v>104</v>
      </c>
      <c r="F45" s="1"/>
      <c r="G45" s="6" t="s">
        <v>116</v>
      </c>
    </row>
    <row r="46" spans="1:7">
      <c r="A46" s="1"/>
      <c r="B46" s="3" t="s">
        <v>99</v>
      </c>
      <c r="C46" s="3" t="s">
        <v>117</v>
      </c>
      <c r="D46" s="1">
        <v>1</v>
      </c>
      <c r="E46" s="3" t="s">
        <v>104</v>
      </c>
      <c r="F46" s="1"/>
      <c r="G46" s="6" t="s">
        <v>118</v>
      </c>
    </row>
    <row r="47" spans="1:7">
      <c r="A47" s="1"/>
      <c r="B47" s="3" t="s">
        <v>99</v>
      </c>
      <c r="C47" s="3" t="s">
        <v>119</v>
      </c>
      <c r="D47" s="1">
        <v>2</v>
      </c>
      <c r="E47" s="3" t="s">
        <v>120</v>
      </c>
      <c r="F47" s="1"/>
      <c r="G47" s="6" t="s">
        <v>121</v>
      </c>
    </row>
    <row r="48" spans="1:7">
      <c r="A48" s="1"/>
      <c r="B48" s="3" t="s">
        <v>122</v>
      </c>
      <c r="C48" s="3" t="s">
        <v>123</v>
      </c>
      <c r="D48" s="1">
        <v>1</v>
      </c>
      <c r="E48" s="3" t="s">
        <v>124</v>
      </c>
      <c r="F48" s="1"/>
      <c r="G48" s="6" t="s">
        <v>125</v>
      </c>
    </row>
    <row r="49" spans="1:7">
      <c r="A49" s="1"/>
      <c r="B49" s="3" t="s">
        <v>126</v>
      </c>
      <c r="C49" s="1" t="s">
        <v>127</v>
      </c>
      <c r="D49" s="1">
        <f>1+1+1</f>
        <v>3</v>
      </c>
      <c r="E49" s="1"/>
      <c r="F49" s="1"/>
      <c r="G49" s="6" t="s">
        <v>128</v>
      </c>
    </row>
    <row r="50" spans="1:7">
      <c r="A50" s="1"/>
      <c r="B50" s="3" t="s">
        <v>129</v>
      </c>
      <c r="C50" s="3" t="s">
        <v>130</v>
      </c>
      <c r="D50" s="1">
        <v>1</v>
      </c>
      <c r="E50" s="3" t="s">
        <v>131</v>
      </c>
      <c r="F50" s="1" t="s">
        <v>132</v>
      </c>
      <c r="G50" s="3" t="s">
        <v>133</v>
      </c>
    </row>
    <row r="51" spans="1:7">
      <c r="A51" s="4"/>
      <c r="B51" s="5" t="s">
        <v>129</v>
      </c>
      <c r="C51" s="5" t="s">
        <v>134</v>
      </c>
      <c r="D51" s="4">
        <v>1</v>
      </c>
      <c r="E51" s="5" t="s">
        <v>135</v>
      </c>
      <c r="F51" s="4"/>
      <c r="G51" s="4"/>
    </row>
    <row r="52" spans="1:7">
      <c r="A52" s="4"/>
      <c r="B52" s="5" t="s">
        <v>129</v>
      </c>
      <c r="C52" s="5" t="s">
        <v>134</v>
      </c>
      <c r="D52" s="4">
        <v>1</v>
      </c>
      <c r="E52" s="5" t="s">
        <v>136</v>
      </c>
      <c r="F52" s="4"/>
      <c r="G52" s="4"/>
    </row>
    <row r="53" spans="1:7">
      <c r="A53" s="1"/>
      <c r="B53" s="3" t="s">
        <v>129</v>
      </c>
      <c r="C53" s="3" t="s">
        <v>137</v>
      </c>
      <c r="D53" s="1">
        <f>1+2</f>
        <v>3</v>
      </c>
      <c r="E53" s="3" t="s">
        <v>138</v>
      </c>
      <c r="F53" s="1"/>
      <c r="G53" s="6" t="s">
        <v>139</v>
      </c>
    </row>
    <row r="54" spans="1:7">
      <c r="A54" s="1"/>
      <c r="B54" s="3" t="s">
        <v>129</v>
      </c>
      <c r="C54" s="3" t="s">
        <v>140</v>
      </c>
      <c r="D54" s="1">
        <f>1+1</f>
        <v>2</v>
      </c>
      <c r="E54" s="3" t="s">
        <v>141</v>
      </c>
      <c r="F54" s="1"/>
      <c r="G54" s="6" t="s">
        <v>142</v>
      </c>
    </row>
  </sheetData>
  <autoFilter xmlns:etc="http://www.wps.cn/officeDocument/2017/etCustomData" ref="A1:G54" etc:filterBottomFollowUsedRange="0">
    <filterColumn colId="2">
      <colorFilter dxfId="0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C7CE"/>
                <bgColor rgb="FFFFFFFF"/>
              </patternFill>
            </fill>
          </dxf>
        </dxfs>
      </extLst>
    </filterColumn>
    <sortState ref="A2:G54">
      <sortCondition ref="B1"/>
    </sortState>
    <extLst/>
  </autoFilter>
  <conditionalFormatting sqref="C18">
    <cfRule type="duplicateValues" dxfId="1" priority="1"/>
  </conditionalFormatting>
  <conditionalFormatting sqref="C1:C17 C19:C1048576">
    <cfRule type="duplicateValues" dxfId="1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E20" sqref="E20:E21"/>
    </sheetView>
  </sheetViews>
  <sheetFormatPr defaultColWidth="9" defaultRowHeight="14.4" outlineLevelCol="6"/>
  <cols>
    <col min="1" max="1" width="7.546875" style="1" customWidth="1"/>
    <col min="2" max="2" width="20.1875" style="1" customWidth="1"/>
    <col min="3" max="3" width="32.5625" style="1" customWidth="1"/>
    <col min="4" max="4" width="10.03125" style="1" customWidth="1"/>
    <col min="5" max="5" width="92.625" style="1" customWidth="1"/>
    <col min="6" max="6" width="24.3125" style="1" customWidth="1"/>
    <col min="7" max="7" width="176.8125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2:5">
      <c r="B2" s="3" t="s">
        <v>143</v>
      </c>
      <c r="C2" s="3" t="s">
        <v>87</v>
      </c>
      <c r="D2" s="1">
        <v>3</v>
      </c>
      <c r="E2" s="3" t="s">
        <v>88</v>
      </c>
    </row>
    <row r="3" spans="2:5">
      <c r="B3" s="3" t="s">
        <v>144</v>
      </c>
      <c r="C3" s="3" t="s">
        <v>87</v>
      </c>
      <c r="D3" s="1">
        <v>3</v>
      </c>
      <c r="E3" s="3" t="s">
        <v>88</v>
      </c>
    </row>
    <row r="4" spans="2:5">
      <c r="B4" s="3" t="s">
        <v>145</v>
      </c>
      <c r="C4" s="3" t="s">
        <v>87</v>
      </c>
      <c r="D4" s="1">
        <v>1</v>
      </c>
      <c r="E4" s="3" t="s">
        <v>88</v>
      </c>
    </row>
    <row r="5" spans="2:7">
      <c r="B5" s="3" t="s">
        <v>146</v>
      </c>
      <c r="C5" s="3" t="s">
        <v>93</v>
      </c>
      <c r="D5" s="1">
        <v>3</v>
      </c>
      <c r="E5" s="3" t="s">
        <v>94</v>
      </c>
      <c r="F5" s="1" t="s">
        <v>41</v>
      </c>
      <c r="G5" s="3" t="s">
        <v>95</v>
      </c>
    </row>
    <row r="6" spans="2:7">
      <c r="B6" s="3" t="s">
        <v>147</v>
      </c>
      <c r="C6" s="3" t="s">
        <v>44</v>
      </c>
      <c r="D6" s="1">
        <v>3</v>
      </c>
      <c r="E6" s="3" t="s">
        <v>45</v>
      </c>
      <c r="F6" s="1" t="s">
        <v>46</v>
      </c>
      <c r="G6" s="3" t="s">
        <v>47</v>
      </c>
    </row>
    <row r="7" spans="2:7">
      <c r="B7" s="3" t="s">
        <v>148</v>
      </c>
      <c r="C7" s="3" t="s">
        <v>48</v>
      </c>
      <c r="D7" s="1">
        <v>1</v>
      </c>
      <c r="E7" s="3" t="s">
        <v>49</v>
      </c>
      <c r="F7" s="1" t="s">
        <v>50</v>
      </c>
      <c r="G7" s="3" t="s">
        <v>51</v>
      </c>
    </row>
    <row r="8" spans="2:7">
      <c r="B8" s="3" t="s">
        <v>149</v>
      </c>
      <c r="C8" s="3" t="s">
        <v>52</v>
      </c>
      <c r="D8" s="1">
        <v>2</v>
      </c>
      <c r="E8" s="3" t="s">
        <v>49</v>
      </c>
      <c r="F8" s="1" t="s">
        <v>50</v>
      </c>
      <c r="G8" s="3" t="s">
        <v>53</v>
      </c>
    </row>
    <row r="9" spans="2:7">
      <c r="B9" s="3" t="s">
        <v>150</v>
      </c>
      <c r="C9" s="3" t="s">
        <v>54</v>
      </c>
      <c r="D9" s="1">
        <v>1</v>
      </c>
      <c r="E9" s="3" t="s">
        <v>49</v>
      </c>
      <c r="F9" s="1" t="s">
        <v>55</v>
      </c>
      <c r="G9" s="3" t="s">
        <v>56</v>
      </c>
    </row>
    <row r="10" spans="2:7">
      <c r="B10" s="3" t="s">
        <v>151</v>
      </c>
      <c r="C10" s="3" t="s">
        <v>57</v>
      </c>
      <c r="D10" s="1">
        <v>2</v>
      </c>
      <c r="E10" s="3" t="s">
        <v>58</v>
      </c>
      <c r="F10" s="1" t="s">
        <v>10</v>
      </c>
      <c r="G10" s="6" t="s">
        <v>59</v>
      </c>
    </row>
    <row r="11" spans="2:7">
      <c r="B11" s="3" t="s">
        <v>152</v>
      </c>
      <c r="C11" s="3" t="s">
        <v>100</v>
      </c>
      <c r="D11" s="1">
        <v>3</v>
      </c>
      <c r="E11" s="3" t="s">
        <v>101</v>
      </c>
      <c r="F11" s="1" t="s">
        <v>10</v>
      </c>
      <c r="G11" s="3" t="s">
        <v>102</v>
      </c>
    </row>
    <row r="12" spans="2:7">
      <c r="B12" s="3" t="s">
        <v>153</v>
      </c>
      <c r="C12" s="3" t="s">
        <v>103</v>
      </c>
      <c r="D12" s="1">
        <v>1</v>
      </c>
      <c r="E12" s="3" t="s">
        <v>104</v>
      </c>
      <c r="F12" s="1" t="s">
        <v>10</v>
      </c>
      <c r="G12" s="3" t="s">
        <v>105</v>
      </c>
    </row>
    <row r="13" spans="2:7">
      <c r="B13" s="3" t="s">
        <v>154</v>
      </c>
      <c r="C13" s="3" t="s">
        <v>106</v>
      </c>
      <c r="D13" s="1">
        <v>1</v>
      </c>
      <c r="E13" s="3" t="s">
        <v>107</v>
      </c>
      <c r="F13" s="1" t="s">
        <v>10</v>
      </c>
      <c r="G13" s="3" t="s">
        <v>108</v>
      </c>
    </row>
    <row r="14" spans="2:7">
      <c r="B14" s="3" t="s">
        <v>155</v>
      </c>
      <c r="C14" s="3" t="s">
        <v>39</v>
      </c>
      <c r="D14" s="1">
        <v>2</v>
      </c>
      <c r="E14" s="3" t="s">
        <v>40</v>
      </c>
      <c r="F14" s="1" t="s">
        <v>41</v>
      </c>
      <c r="G14" s="3" t="s">
        <v>42</v>
      </c>
    </row>
    <row r="15" spans="2:7">
      <c r="B15" s="3" t="s">
        <v>156</v>
      </c>
      <c r="C15" s="3" t="s">
        <v>8</v>
      </c>
      <c r="D15" s="1">
        <v>3</v>
      </c>
      <c r="E15" s="3" t="s">
        <v>9</v>
      </c>
      <c r="F15" s="1" t="s">
        <v>10</v>
      </c>
      <c r="G15" s="3" t="s">
        <v>11</v>
      </c>
    </row>
    <row r="16" spans="2:7">
      <c r="B16" s="3" t="s">
        <v>157</v>
      </c>
      <c r="C16" s="3" t="s">
        <v>12</v>
      </c>
      <c r="D16" s="1">
        <v>1</v>
      </c>
      <c r="E16" s="3" t="s">
        <v>13</v>
      </c>
      <c r="F16" s="1" t="s">
        <v>14</v>
      </c>
      <c r="G16" s="3" t="s">
        <v>15</v>
      </c>
    </row>
    <row r="17" spans="1:7">
      <c r="A17" s="4"/>
      <c r="B17" s="5" t="s">
        <v>158</v>
      </c>
      <c r="C17" s="5" t="s">
        <v>16</v>
      </c>
      <c r="D17" s="4">
        <v>1</v>
      </c>
      <c r="E17" s="5" t="s">
        <v>17</v>
      </c>
      <c r="F17" s="4"/>
      <c r="G17" s="4"/>
    </row>
    <row r="18" spans="1:7">
      <c r="A18" s="4"/>
      <c r="B18" s="5" t="s">
        <v>159</v>
      </c>
      <c r="C18" s="5" t="s">
        <v>18</v>
      </c>
      <c r="D18" s="4">
        <v>1</v>
      </c>
      <c r="E18" s="5" t="s">
        <v>17</v>
      </c>
      <c r="F18" s="4"/>
      <c r="G18" s="4"/>
    </row>
    <row r="19" spans="2:7">
      <c r="B19" s="3" t="s">
        <v>160</v>
      </c>
      <c r="C19" s="3" t="s">
        <v>36</v>
      </c>
      <c r="D19" s="1">
        <v>1</v>
      </c>
      <c r="E19" s="3" t="s">
        <v>17</v>
      </c>
      <c r="F19" s="1" t="s">
        <v>161</v>
      </c>
      <c r="G19" s="3" t="s">
        <v>37</v>
      </c>
    </row>
    <row r="20" spans="2:7">
      <c r="B20" s="3" t="s">
        <v>162</v>
      </c>
      <c r="C20" s="3" t="s">
        <v>84</v>
      </c>
      <c r="D20" s="1">
        <v>2</v>
      </c>
      <c r="E20" s="3" t="s">
        <v>85</v>
      </c>
      <c r="F20" s="1" t="s">
        <v>55</v>
      </c>
      <c r="G20" s="3" t="s">
        <v>86</v>
      </c>
    </row>
    <row r="21" spans="2:7">
      <c r="B21" s="3" t="s">
        <v>163</v>
      </c>
      <c r="C21" s="3" t="s">
        <v>130</v>
      </c>
      <c r="D21" s="1">
        <v>1</v>
      </c>
      <c r="E21" s="3" t="s">
        <v>131</v>
      </c>
      <c r="F21" s="1" t="s">
        <v>132</v>
      </c>
      <c r="G21" s="3" t="s">
        <v>133</v>
      </c>
    </row>
    <row r="22" spans="1:7">
      <c r="A22" s="4"/>
      <c r="B22" s="5" t="s">
        <v>164</v>
      </c>
      <c r="C22" s="5" t="s">
        <v>134</v>
      </c>
      <c r="D22" s="4">
        <v>1</v>
      </c>
      <c r="E22" s="5" t="s">
        <v>135</v>
      </c>
      <c r="F22" s="4"/>
      <c r="G22" s="4"/>
    </row>
    <row r="23" spans="1:7">
      <c r="A23" s="4"/>
      <c r="B23" s="5" t="s">
        <v>165</v>
      </c>
      <c r="C23" s="5" t="s">
        <v>134</v>
      </c>
      <c r="D23" s="4">
        <v>1</v>
      </c>
      <c r="E23" s="5" t="s">
        <v>136</v>
      </c>
      <c r="F23" s="4"/>
      <c r="G23" s="4"/>
    </row>
    <row r="24" spans="2:7">
      <c r="B24" s="3" t="s">
        <v>166</v>
      </c>
      <c r="C24" s="3" t="s">
        <v>137</v>
      </c>
      <c r="D24" s="1">
        <v>1</v>
      </c>
      <c r="E24" s="3" t="s">
        <v>138</v>
      </c>
      <c r="F24" s="1" t="s">
        <v>167</v>
      </c>
      <c r="G24" s="6" t="s">
        <v>139</v>
      </c>
    </row>
    <row r="25" spans="2:5">
      <c r="B25" s="3" t="s">
        <v>168</v>
      </c>
      <c r="C25" s="3" t="s">
        <v>66</v>
      </c>
      <c r="D25" s="1">
        <v>1</v>
      </c>
      <c r="E25" s="3" t="s">
        <v>67</v>
      </c>
    </row>
    <row r="26" spans="3:4">
      <c r="C26" s="3" t="s">
        <v>68</v>
      </c>
      <c r="D26" s="1">
        <v>2</v>
      </c>
    </row>
    <row r="27" spans="3:4">
      <c r="C27" s="3" t="s">
        <v>69</v>
      </c>
      <c r="D27" s="1">
        <v>2</v>
      </c>
    </row>
    <row r="28" spans="2:7">
      <c r="B28" s="3" t="s">
        <v>169</v>
      </c>
      <c r="C28" s="3" t="s">
        <v>70</v>
      </c>
      <c r="D28" s="1">
        <v>2</v>
      </c>
      <c r="E28" s="3" t="s">
        <v>71</v>
      </c>
      <c r="F28" s="1" t="s">
        <v>72</v>
      </c>
      <c r="G28" s="3" t="s">
        <v>73</v>
      </c>
    </row>
    <row r="29" spans="2:7">
      <c r="B29" s="3" t="s">
        <v>170</v>
      </c>
      <c r="C29" s="3" t="s">
        <v>74</v>
      </c>
      <c r="D29" s="1">
        <v>2</v>
      </c>
      <c r="E29" s="3" t="s">
        <v>75</v>
      </c>
      <c r="F29" s="1" t="s">
        <v>72</v>
      </c>
      <c r="G29" s="3" t="s">
        <v>76</v>
      </c>
    </row>
    <row r="30" spans="2:7">
      <c r="B30" s="3" t="s">
        <v>171</v>
      </c>
      <c r="C30" s="3" t="s">
        <v>77</v>
      </c>
      <c r="D30" s="1">
        <v>1</v>
      </c>
      <c r="E30" s="3" t="s">
        <v>77</v>
      </c>
      <c r="F30" s="1" t="s">
        <v>55</v>
      </c>
      <c r="G30" s="3" t="s">
        <v>78</v>
      </c>
    </row>
    <row r="31" spans="2:7">
      <c r="B31" s="3" t="s">
        <v>126</v>
      </c>
      <c r="C31" s="1" t="s">
        <v>127</v>
      </c>
      <c r="D31" s="1">
        <v>1</v>
      </c>
      <c r="E31" s="1"/>
      <c r="F31" s="1" t="s">
        <v>167</v>
      </c>
      <c r="G31" s="6" t="s">
        <v>128</v>
      </c>
    </row>
    <row r="32" spans="1:6">
      <c r="A32" s="2" t="s">
        <v>172</v>
      </c>
      <c r="F32" s="7"/>
    </row>
    <row r="33" spans="2:7">
      <c r="B33" s="3" t="s">
        <v>173</v>
      </c>
      <c r="C33" s="3" t="s">
        <v>109</v>
      </c>
      <c r="D33" s="1">
        <v>1</v>
      </c>
      <c r="E33" s="3" t="s">
        <v>104</v>
      </c>
      <c r="F33" s="1" t="s">
        <v>10</v>
      </c>
      <c r="G33" s="6" t="s">
        <v>110</v>
      </c>
    </row>
    <row r="34" spans="2:7">
      <c r="B34" s="3" t="s">
        <v>174</v>
      </c>
      <c r="C34" s="3" t="s">
        <v>111</v>
      </c>
      <c r="D34" s="1">
        <v>1</v>
      </c>
      <c r="E34" s="3" t="s">
        <v>104</v>
      </c>
      <c r="F34" s="1" t="s">
        <v>10</v>
      </c>
      <c r="G34" s="6" t="s">
        <v>112</v>
      </c>
    </row>
    <row r="35" spans="2:7">
      <c r="B35" s="3" t="s">
        <v>175</v>
      </c>
      <c r="C35" s="3" t="s">
        <v>113</v>
      </c>
      <c r="D35" s="1">
        <v>2</v>
      </c>
      <c r="E35" s="3" t="s">
        <v>104</v>
      </c>
      <c r="F35" s="1" t="s">
        <v>10</v>
      </c>
      <c r="G35" s="6" t="s">
        <v>114</v>
      </c>
    </row>
    <row r="36" spans="2:7">
      <c r="B36" s="3" t="s">
        <v>176</v>
      </c>
      <c r="C36" s="3" t="s">
        <v>19</v>
      </c>
      <c r="D36" s="1">
        <v>1</v>
      </c>
      <c r="E36" s="3" t="s">
        <v>20</v>
      </c>
      <c r="F36" s="1" t="s">
        <v>161</v>
      </c>
      <c r="G36" s="6" t="s">
        <v>21</v>
      </c>
    </row>
    <row r="37" spans="2:7">
      <c r="B37" s="3" t="s">
        <v>157</v>
      </c>
      <c r="C37" s="3" t="s">
        <v>22</v>
      </c>
      <c r="D37" s="1">
        <v>1</v>
      </c>
      <c r="E37" s="3" t="s">
        <v>20</v>
      </c>
      <c r="F37" s="1" t="s">
        <v>10</v>
      </c>
      <c r="G37" s="6" t="s">
        <v>23</v>
      </c>
    </row>
    <row r="38" spans="2:7">
      <c r="B38" s="3" t="s">
        <v>177</v>
      </c>
      <c r="C38" s="3" t="s">
        <v>24</v>
      </c>
      <c r="D38" s="1">
        <v>1</v>
      </c>
      <c r="E38" s="3" t="s">
        <v>17</v>
      </c>
      <c r="F38" s="1" t="s">
        <v>161</v>
      </c>
      <c r="G38" s="6" t="s">
        <v>25</v>
      </c>
    </row>
    <row r="39" spans="2:7">
      <c r="B39" s="3" t="s">
        <v>178</v>
      </c>
      <c r="C39" s="3" t="s">
        <v>26</v>
      </c>
      <c r="D39" s="1">
        <v>1</v>
      </c>
      <c r="E39" s="3" t="s">
        <v>20</v>
      </c>
      <c r="F39" s="1" t="s">
        <v>10</v>
      </c>
      <c r="G39" s="6" t="s">
        <v>11</v>
      </c>
    </row>
    <row r="40" spans="2:7">
      <c r="B40" s="3" t="s">
        <v>158</v>
      </c>
      <c r="C40" s="3" t="s">
        <v>27</v>
      </c>
      <c r="D40" s="1">
        <v>1</v>
      </c>
      <c r="E40" s="3" t="s">
        <v>17</v>
      </c>
      <c r="F40" s="1" t="s">
        <v>161</v>
      </c>
      <c r="G40" s="3" t="s">
        <v>28</v>
      </c>
    </row>
    <row r="41" spans="2:7">
      <c r="B41" s="3" t="s">
        <v>159</v>
      </c>
      <c r="C41" s="3" t="s">
        <v>29</v>
      </c>
      <c r="D41" s="1">
        <v>1</v>
      </c>
      <c r="E41" s="3" t="s">
        <v>30</v>
      </c>
      <c r="F41" s="1" t="s">
        <v>161</v>
      </c>
      <c r="G41" s="6" t="s">
        <v>31</v>
      </c>
    </row>
    <row r="42" spans="2:7">
      <c r="B42" s="3" t="s">
        <v>179</v>
      </c>
      <c r="C42" s="3" t="s">
        <v>89</v>
      </c>
      <c r="D42" s="1">
        <v>1</v>
      </c>
      <c r="E42" s="3" t="s">
        <v>90</v>
      </c>
      <c r="F42" s="1" t="s">
        <v>180</v>
      </c>
      <c r="G42" s="6" t="s">
        <v>91</v>
      </c>
    </row>
    <row r="43" spans="2:7">
      <c r="B43" s="3" t="s">
        <v>181</v>
      </c>
      <c r="C43" s="3" t="s">
        <v>60</v>
      </c>
      <c r="D43" s="1">
        <v>1</v>
      </c>
      <c r="E43" s="3" t="s">
        <v>58</v>
      </c>
      <c r="F43" s="1" t="s">
        <v>182</v>
      </c>
      <c r="G43" s="6" t="s">
        <v>61</v>
      </c>
    </row>
    <row r="44" spans="2:7">
      <c r="B44" s="3" t="s">
        <v>183</v>
      </c>
      <c r="C44" s="3" t="s">
        <v>62</v>
      </c>
      <c r="D44" s="1">
        <v>2</v>
      </c>
      <c r="E44" s="3" t="s">
        <v>63</v>
      </c>
      <c r="F44" s="1" t="s">
        <v>167</v>
      </c>
      <c r="G44" s="6" t="s">
        <v>64</v>
      </c>
    </row>
    <row r="45" spans="2:7">
      <c r="B45" s="3" t="s">
        <v>184</v>
      </c>
      <c r="C45" s="3" t="s">
        <v>96</v>
      </c>
      <c r="D45" s="1">
        <v>1</v>
      </c>
      <c r="E45" s="3" t="s">
        <v>97</v>
      </c>
      <c r="F45" s="1" t="s">
        <v>167</v>
      </c>
      <c r="G45" s="6" t="s">
        <v>98</v>
      </c>
    </row>
    <row r="46" spans="2:7">
      <c r="B46" s="3" t="s">
        <v>185</v>
      </c>
      <c r="C46" s="3" t="s">
        <v>137</v>
      </c>
      <c r="D46" s="1">
        <v>2</v>
      </c>
      <c r="E46" s="3" t="s">
        <v>138</v>
      </c>
      <c r="F46" s="1" t="s">
        <v>167</v>
      </c>
      <c r="G46" s="6" t="s">
        <v>139</v>
      </c>
    </row>
    <row r="47" spans="2:7">
      <c r="B47" s="3" t="s">
        <v>163</v>
      </c>
      <c r="C47" s="3" t="s">
        <v>140</v>
      </c>
      <c r="D47" s="1">
        <v>1</v>
      </c>
      <c r="E47" s="3" t="s">
        <v>141</v>
      </c>
      <c r="F47" s="1" t="s">
        <v>167</v>
      </c>
      <c r="G47" s="6" t="s">
        <v>142</v>
      </c>
    </row>
    <row r="48" spans="2:5">
      <c r="B48" s="3" t="s">
        <v>168</v>
      </c>
      <c r="C48" s="3" t="s">
        <v>79</v>
      </c>
      <c r="D48" s="1">
        <v>1</v>
      </c>
      <c r="E48" s="3" t="s">
        <v>80</v>
      </c>
    </row>
    <row r="49" spans="2:5">
      <c r="B49" s="3" t="s">
        <v>186</v>
      </c>
      <c r="C49" s="3" t="s">
        <v>81</v>
      </c>
      <c r="D49" s="1">
        <v>1</v>
      </c>
      <c r="E49" s="3" t="s">
        <v>82</v>
      </c>
    </row>
    <row r="50" spans="2:7">
      <c r="B50" s="3" t="s">
        <v>126</v>
      </c>
      <c r="C50" s="1" t="s">
        <v>127</v>
      </c>
      <c r="D50" s="1">
        <v>1</v>
      </c>
      <c r="E50" s="1"/>
      <c r="F50" s="1" t="s">
        <v>167</v>
      </c>
      <c r="G50" s="6" t="s">
        <v>128</v>
      </c>
    </row>
    <row r="51" spans="1:1">
      <c r="A51" s="2" t="s">
        <v>187</v>
      </c>
    </row>
    <row r="52" spans="2:7">
      <c r="B52" s="3" t="s">
        <v>173</v>
      </c>
      <c r="C52" s="3" t="s">
        <v>109</v>
      </c>
      <c r="D52" s="1">
        <v>1</v>
      </c>
      <c r="E52" s="3" t="s">
        <v>104</v>
      </c>
      <c r="F52" s="1" t="s">
        <v>10</v>
      </c>
      <c r="G52" s="6" t="s">
        <v>110</v>
      </c>
    </row>
    <row r="53" spans="2:7">
      <c r="B53" s="3" t="s">
        <v>174</v>
      </c>
      <c r="C53" s="3" t="s">
        <v>111</v>
      </c>
      <c r="D53" s="1">
        <v>1</v>
      </c>
      <c r="E53" s="3" t="s">
        <v>104</v>
      </c>
      <c r="F53" s="1" t="s">
        <v>10</v>
      </c>
      <c r="G53" s="6" t="s">
        <v>112</v>
      </c>
    </row>
    <row r="54" spans="2:7">
      <c r="B54" s="3" t="s">
        <v>188</v>
      </c>
      <c r="C54" s="3" t="s">
        <v>113</v>
      </c>
      <c r="D54" s="1">
        <v>1</v>
      </c>
      <c r="E54" s="3" t="s">
        <v>104</v>
      </c>
      <c r="F54" s="1" t="s">
        <v>10</v>
      </c>
      <c r="G54" s="6" t="s">
        <v>114</v>
      </c>
    </row>
    <row r="55" spans="2:7">
      <c r="B55" s="3" t="s">
        <v>153</v>
      </c>
      <c r="C55" s="3" t="s">
        <v>115</v>
      </c>
      <c r="D55" s="1">
        <v>1</v>
      </c>
      <c r="E55" s="3" t="s">
        <v>104</v>
      </c>
      <c r="F55" s="1" t="s">
        <v>10</v>
      </c>
      <c r="G55" s="6" t="s">
        <v>116</v>
      </c>
    </row>
    <row r="56" spans="2:7">
      <c r="B56" s="3" t="s">
        <v>154</v>
      </c>
      <c r="C56" s="3" t="s">
        <v>117</v>
      </c>
      <c r="D56" s="1">
        <v>1</v>
      </c>
      <c r="E56" s="3" t="s">
        <v>104</v>
      </c>
      <c r="F56" s="1" t="s">
        <v>10</v>
      </c>
      <c r="G56" s="6" t="s">
        <v>118</v>
      </c>
    </row>
    <row r="57" spans="2:7">
      <c r="B57" s="3" t="s">
        <v>189</v>
      </c>
      <c r="C57" s="3" t="s">
        <v>119</v>
      </c>
      <c r="D57" s="1">
        <v>2</v>
      </c>
      <c r="E57" s="3" t="s">
        <v>120</v>
      </c>
      <c r="F57" s="1" t="s">
        <v>10</v>
      </c>
      <c r="G57" s="6" t="s">
        <v>121</v>
      </c>
    </row>
    <row r="58" spans="2:7">
      <c r="B58" s="3" t="s">
        <v>190</v>
      </c>
      <c r="C58" s="3" t="s">
        <v>123</v>
      </c>
      <c r="D58" s="1">
        <v>1</v>
      </c>
      <c r="E58" s="3" t="s">
        <v>124</v>
      </c>
      <c r="F58" s="1" t="s">
        <v>180</v>
      </c>
      <c r="G58" s="6" t="s">
        <v>125</v>
      </c>
    </row>
    <row r="59" spans="2:7">
      <c r="B59" s="3" t="s">
        <v>176</v>
      </c>
      <c r="C59" s="3" t="s">
        <v>19</v>
      </c>
      <c r="D59" s="1">
        <v>1</v>
      </c>
      <c r="E59" s="3" t="s">
        <v>20</v>
      </c>
      <c r="F59" s="1" t="s">
        <v>161</v>
      </c>
      <c r="G59" s="6" t="s">
        <v>21</v>
      </c>
    </row>
    <row r="60" spans="2:7">
      <c r="B60" s="3" t="s">
        <v>157</v>
      </c>
      <c r="C60" s="3" t="s">
        <v>22</v>
      </c>
      <c r="D60" s="1">
        <v>1</v>
      </c>
      <c r="E60" s="3" t="s">
        <v>20</v>
      </c>
      <c r="F60" s="1" t="s">
        <v>10</v>
      </c>
      <c r="G60" s="6" t="s">
        <v>23</v>
      </c>
    </row>
    <row r="61" spans="2:7">
      <c r="B61" s="3" t="s">
        <v>177</v>
      </c>
      <c r="C61" s="3" t="s">
        <v>32</v>
      </c>
      <c r="D61" s="1">
        <v>1</v>
      </c>
      <c r="E61" s="3" t="s">
        <v>17</v>
      </c>
      <c r="F61" s="1" t="s">
        <v>161</v>
      </c>
      <c r="G61" s="6" t="s">
        <v>25</v>
      </c>
    </row>
    <row r="62" spans="2:7">
      <c r="B62" s="3" t="s">
        <v>178</v>
      </c>
      <c r="C62" s="3" t="s">
        <v>33</v>
      </c>
      <c r="D62" s="1">
        <v>1</v>
      </c>
      <c r="E62" s="3" t="s">
        <v>20</v>
      </c>
      <c r="F62" s="1" t="s">
        <v>10</v>
      </c>
      <c r="G62" s="6" t="s">
        <v>34</v>
      </c>
    </row>
    <row r="63" spans="2:7">
      <c r="B63" s="3" t="s">
        <v>191</v>
      </c>
      <c r="C63" s="3" t="s">
        <v>26</v>
      </c>
      <c r="D63" s="1">
        <v>3</v>
      </c>
      <c r="E63" s="3" t="s">
        <v>20</v>
      </c>
      <c r="F63" s="1" t="s">
        <v>10</v>
      </c>
      <c r="G63" s="6" t="s">
        <v>11</v>
      </c>
    </row>
    <row r="64" spans="2:7">
      <c r="B64" s="3" t="s">
        <v>192</v>
      </c>
      <c r="C64" s="3" t="s">
        <v>35</v>
      </c>
      <c r="D64" s="1">
        <v>1</v>
      </c>
      <c r="E64" s="3" t="s">
        <v>30</v>
      </c>
      <c r="F64" s="1" t="s">
        <v>161</v>
      </c>
      <c r="G64" s="6" t="s">
        <v>31</v>
      </c>
    </row>
    <row r="65" spans="2:7">
      <c r="B65" s="3" t="s">
        <v>193</v>
      </c>
      <c r="C65" s="3" t="s">
        <v>36</v>
      </c>
      <c r="D65" s="1">
        <v>2</v>
      </c>
      <c r="E65" s="3" t="s">
        <v>17</v>
      </c>
      <c r="F65" s="1" t="s">
        <v>161</v>
      </c>
      <c r="G65" s="6" t="s">
        <v>37</v>
      </c>
    </row>
    <row r="66" spans="2:7">
      <c r="B66" s="3" t="s">
        <v>179</v>
      </c>
      <c r="C66" s="3" t="s">
        <v>89</v>
      </c>
      <c r="D66" s="1">
        <v>1</v>
      </c>
      <c r="E66" s="3" t="s">
        <v>90</v>
      </c>
      <c r="F66" s="1" t="s">
        <v>180</v>
      </c>
      <c r="G66" s="6" t="s">
        <v>91</v>
      </c>
    </row>
    <row r="67" spans="2:7">
      <c r="B67" s="3" t="s">
        <v>181</v>
      </c>
      <c r="C67" s="3" t="s">
        <v>60</v>
      </c>
      <c r="D67" s="1">
        <v>1</v>
      </c>
      <c r="E67" s="3" t="s">
        <v>58</v>
      </c>
      <c r="F67" s="1" t="s">
        <v>182</v>
      </c>
      <c r="G67" s="6" t="s">
        <v>61</v>
      </c>
    </row>
    <row r="68" spans="2:7">
      <c r="B68" s="3" t="s">
        <v>194</v>
      </c>
      <c r="C68" s="3" t="s">
        <v>57</v>
      </c>
      <c r="D68" s="1">
        <v>2</v>
      </c>
      <c r="E68" s="3" t="s">
        <v>63</v>
      </c>
      <c r="F68" s="1" t="s">
        <v>10</v>
      </c>
      <c r="G68" s="6" t="s">
        <v>59</v>
      </c>
    </row>
    <row r="69" spans="2:7">
      <c r="B69" s="3" t="s">
        <v>184</v>
      </c>
      <c r="C69" s="3" t="s">
        <v>96</v>
      </c>
      <c r="D69" s="1">
        <v>1</v>
      </c>
      <c r="E69" s="3" t="s">
        <v>97</v>
      </c>
      <c r="F69" s="1" t="s">
        <v>167</v>
      </c>
      <c r="G69" s="6" t="s">
        <v>98</v>
      </c>
    </row>
    <row r="70" spans="2:7">
      <c r="B70" s="3" t="s">
        <v>163</v>
      </c>
      <c r="C70" s="3" t="s">
        <v>140</v>
      </c>
      <c r="D70" s="1">
        <v>1</v>
      </c>
      <c r="E70" s="3" t="s">
        <v>141</v>
      </c>
      <c r="F70" s="1" t="s">
        <v>167</v>
      </c>
      <c r="G70" s="6" t="s">
        <v>142</v>
      </c>
    </row>
    <row r="71" spans="2:5">
      <c r="B71" s="3" t="s">
        <v>168</v>
      </c>
      <c r="C71" s="3" t="s">
        <v>79</v>
      </c>
      <c r="D71" s="1">
        <v>1</v>
      </c>
      <c r="E71" s="3" t="s">
        <v>80</v>
      </c>
    </row>
    <row r="72" spans="2:5">
      <c r="B72" s="3" t="s">
        <v>186</v>
      </c>
      <c r="C72" s="3" t="s">
        <v>81</v>
      </c>
      <c r="D72" s="1">
        <v>1</v>
      </c>
      <c r="E72" s="3" t="s">
        <v>82</v>
      </c>
    </row>
    <row r="73" spans="2:7">
      <c r="B73" s="3" t="s">
        <v>126</v>
      </c>
      <c r="C73" s="1" t="s">
        <v>127</v>
      </c>
      <c r="D73" s="1">
        <v>1</v>
      </c>
      <c r="F73" s="1" t="s">
        <v>167</v>
      </c>
      <c r="G73" s="6" t="s">
        <v>128</v>
      </c>
    </row>
  </sheetData>
  <autoFilter xmlns:etc="http://www.wps.cn/officeDocument/2017/etCustomData" ref="A1:G72" etc:filterBottomFollowUsedRange="0">
    <extLst/>
  </autoFilter>
  <conditionalFormatting sqref="C$1:C$1048576"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Merge</vt:lpstr>
      <vt:lpstr>Per 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Mmm</cp:lastModifiedBy>
  <dcterms:created xsi:type="dcterms:W3CDTF">2025-04-28T08:33:03Z</dcterms:created>
  <dcterms:modified xsi:type="dcterms:W3CDTF">2025-04-28T15:11:52Z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A03B435489AFDA14CFDA0E6838751601_41</vt:lpwstr>
  </property>
  <property fmtid="{D5CDD505-2E9C-101B-9397-08002B2CF9AE}" pid="3" name="KSOReadingLayout">
    <vt:bool>true</vt:bool>
  </property>
  <property fmtid="{D5CDD505-2E9C-101B-9397-08002B2CF9AE}" pid="4" name="KSOProductBuildVer">
    <vt:lpwstr>1033-6.12.2.8699</vt:lpwstr>
  </property>
</Properties>
</file>